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avinayadav/Claude Ad hoc/PriceDeskLY/"/>
    </mc:Choice>
  </mc:AlternateContent>
  <xr:revisionPtr revIDLastSave="0" documentId="11_34F97F5861D15F85B452305C428CA9C9574D3181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Inputs" sheetId="1" r:id="rId1"/>
    <sheet name="Rate Card" sheetId="2" r:id="rId2"/>
    <sheet name="Summary" sheetId="3" r:id="rId3"/>
    <sheet name="Checks" sheetId="4" r:id="rId4"/>
    <sheet name="Quote" sheetId="5" r:id="rId5"/>
  </sheets>
  <definedNames>
    <definedName name="_xlnm._FilterDatabase" localSheetId="4" hidden="1">Quote!$A$1:$N$123</definedName>
    <definedName name="_xlnm._FilterDatabase" localSheetId="1" hidden="1">'Rate Card'!$A$1:$J$123</definedName>
    <definedName name="Discount">Inputs!$C$28</definedName>
    <definedName name="DriverName">Inputs!$B$34:$B$42</definedName>
    <definedName name="DriverQty">Inputs!$C$34:$C$42</definedName>
    <definedName name="MarginFloor">Inputs!$C$27</definedName>
    <definedName name="MarginLever">Inputs!$C$26</definedName>
    <definedName name="Months">Inputs!$C$16</definedName>
    <definedName name="MonVisits">Inputs!$C$21</definedName>
    <definedName name="MonVisitsPerSite">Inputs!$C$17</definedName>
    <definedName name="Patients">Inputs!$C$14</definedName>
    <definedName name="SiteMonths">Inputs!$C$22</definedName>
    <definedName name="Sites">Inputs!$C$13</definedName>
    <definedName name="TotalVisits">Inputs!$C$20</definedName>
    <definedName name="VisitsPerPatient">Inputs!$C$15</definedName>
    <definedName name="Weeks">Inputs!$C$23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3" i="5" l="1"/>
  <c r="F123" i="5"/>
  <c r="N123" i="5" s="1"/>
  <c r="E123" i="5"/>
  <c r="D123" i="5"/>
  <c r="J123" i="5" s="1"/>
  <c r="C123" i="5"/>
  <c r="B123" i="5"/>
  <c r="I122" i="5"/>
  <c r="G122" i="5"/>
  <c r="J122" i="5" s="1"/>
  <c r="K122" i="5" s="1"/>
  <c r="F122" i="5"/>
  <c r="E122" i="5"/>
  <c r="D122" i="5"/>
  <c r="C122" i="5"/>
  <c r="B122" i="5"/>
  <c r="N121" i="5"/>
  <c r="M121" i="5"/>
  <c r="L121" i="5"/>
  <c r="G121" i="5"/>
  <c r="F121" i="5"/>
  <c r="E121" i="5"/>
  <c r="D121" i="5"/>
  <c r="C121" i="5"/>
  <c r="B121" i="5"/>
  <c r="I120" i="5"/>
  <c r="G120" i="5"/>
  <c r="J120" i="5" s="1"/>
  <c r="F120" i="5"/>
  <c r="E120" i="5"/>
  <c r="D120" i="5"/>
  <c r="C120" i="5"/>
  <c r="B120" i="5"/>
  <c r="N119" i="5"/>
  <c r="M119" i="5"/>
  <c r="L119" i="5"/>
  <c r="G119" i="5"/>
  <c r="F119" i="5"/>
  <c r="E119" i="5"/>
  <c r="D119" i="5"/>
  <c r="C119" i="5"/>
  <c r="B119" i="5"/>
  <c r="I118" i="5"/>
  <c r="G118" i="5"/>
  <c r="J118" i="5" s="1"/>
  <c r="F118" i="5"/>
  <c r="E118" i="5"/>
  <c r="D118" i="5"/>
  <c r="C118" i="5"/>
  <c r="B118" i="5"/>
  <c r="M117" i="5"/>
  <c r="L117" i="5"/>
  <c r="G117" i="5"/>
  <c r="F117" i="5"/>
  <c r="N117" i="5" s="1"/>
  <c r="E117" i="5"/>
  <c r="D117" i="5"/>
  <c r="I117" i="5" s="1"/>
  <c r="C117" i="5"/>
  <c r="B117" i="5"/>
  <c r="G116" i="5"/>
  <c r="F116" i="5"/>
  <c r="E116" i="5"/>
  <c r="D116" i="5"/>
  <c r="C116" i="5"/>
  <c r="B116" i="5"/>
  <c r="N115" i="5"/>
  <c r="M115" i="5"/>
  <c r="L115" i="5"/>
  <c r="J115" i="5"/>
  <c r="K115" i="5" s="1"/>
  <c r="I115" i="5"/>
  <c r="G115" i="5"/>
  <c r="F115" i="5"/>
  <c r="E115" i="5"/>
  <c r="D115" i="5"/>
  <c r="C115" i="5"/>
  <c r="B115" i="5"/>
  <c r="I114" i="5"/>
  <c r="G114" i="5"/>
  <c r="F114" i="5"/>
  <c r="E114" i="5"/>
  <c r="D114" i="5"/>
  <c r="C114" i="5"/>
  <c r="B114" i="5"/>
  <c r="N113" i="5"/>
  <c r="M113" i="5"/>
  <c r="L113" i="5"/>
  <c r="G113" i="5"/>
  <c r="F113" i="5"/>
  <c r="E113" i="5"/>
  <c r="D113" i="5"/>
  <c r="J113" i="5" s="1"/>
  <c r="K113" i="5" s="1"/>
  <c r="C113" i="5"/>
  <c r="B113" i="5"/>
  <c r="G112" i="5"/>
  <c r="F112" i="5"/>
  <c r="L112" i="5" s="1"/>
  <c r="E112" i="5"/>
  <c r="D112" i="5"/>
  <c r="J112" i="5" s="1"/>
  <c r="C112" i="5"/>
  <c r="B112" i="5"/>
  <c r="M111" i="5"/>
  <c r="L111" i="5"/>
  <c r="J111" i="5"/>
  <c r="K111" i="5" s="1"/>
  <c r="I111" i="5"/>
  <c r="G111" i="5"/>
  <c r="F111" i="5"/>
  <c r="N111" i="5" s="1"/>
  <c r="E111" i="5"/>
  <c r="D111" i="5"/>
  <c r="C111" i="5"/>
  <c r="B111" i="5"/>
  <c r="N110" i="5"/>
  <c r="M110" i="5"/>
  <c r="G110" i="5"/>
  <c r="F110" i="5"/>
  <c r="L110" i="5" s="1"/>
  <c r="E110" i="5"/>
  <c r="D110" i="5"/>
  <c r="I110" i="5" s="1"/>
  <c r="C110" i="5"/>
  <c r="B110" i="5"/>
  <c r="N109" i="5"/>
  <c r="J109" i="5"/>
  <c r="I109" i="5"/>
  <c r="G109" i="5"/>
  <c r="F109" i="5"/>
  <c r="M109" i="5" s="1"/>
  <c r="E109" i="5"/>
  <c r="D109" i="5"/>
  <c r="C109" i="5"/>
  <c r="B109" i="5"/>
  <c r="J108" i="5"/>
  <c r="I108" i="5"/>
  <c r="G108" i="5"/>
  <c r="E108" i="5"/>
  <c r="D108" i="5"/>
  <c r="C108" i="5"/>
  <c r="B108" i="5"/>
  <c r="N107" i="5"/>
  <c r="M107" i="5"/>
  <c r="G107" i="5"/>
  <c r="F107" i="5"/>
  <c r="L107" i="5" s="1"/>
  <c r="E107" i="5"/>
  <c r="D107" i="5"/>
  <c r="J107" i="5" s="1"/>
  <c r="K107" i="5" s="1"/>
  <c r="C107" i="5"/>
  <c r="B107" i="5"/>
  <c r="N106" i="5"/>
  <c r="M106" i="5"/>
  <c r="I106" i="5"/>
  <c r="G106" i="5"/>
  <c r="J106" i="5" s="1"/>
  <c r="K106" i="5" s="1"/>
  <c r="F106" i="5"/>
  <c r="E106" i="5"/>
  <c r="D106" i="5"/>
  <c r="C106" i="5"/>
  <c r="B106" i="5"/>
  <c r="N105" i="5"/>
  <c r="M105" i="5"/>
  <c r="I105" i="5"/>
  <c r="F105" i="5"/>
  <c r="E105" i="5"/>
  <c r="D105" i="5"/>
  <c r="C105" i="5"/>
  <c r="B105" i="5"/>
  <c r="M104" i="5"/>
  <c r="I104" i="5"/>
  <c r="F104" i="5"/>
  <c r="E104" i="5"/>
  <c r="D104" i="5"/>
  <c r="C104" i="5"/>
  <c r="B104" i="5"/>
  <c r="N103" i="5"/>
  <c r="M103" i="5"/>
  <c r="F103" i="5"/>
  <c r="E103" i="5"/>
  <c r="D103" i="5"/>
  <c r="I103" i="5" s="1"/>
  <c r="C103" i="5"/>
  <c r="B103" i="5"/>
  <c r="F102" i="5"/>
  <c r="E102" i="5"/>
  <c r="D102" i="5"/>
  <c r="C102" i="5"/>
  <c r="B102" i="5"/>
  <c r="N101" i="5"/>
  <c r="M101" i="5"/>
  <c r="I101" i="5"/>
  <c r="F101" i="5"/>
  <c r="E101" i="5"/>
  <c r="D101" i="5"/>
  <c r="C101" i="5"/>
  <c r="B101" i="5"/>
  <c r="N100" i="5"/>
  <c r="M100" i="5"/>
  <c r="F100" i="5"/>
  <c r="E100" i="5"/>
  <c r="D100" i="5"/>
  <c r="I100" i="5" s="1"/>
  <c r="C100" i="5"/>
  <c r="B100" i="5"/>
  <c r="N99" i="5"/>
  <c r="F99" i="5"/>
  <c r="M99" i="5" s="1"/>
  <c r="E99" i="5"/>
  <c r="D99" i="5"/>
  <c r="C99" i="5"/>
  <c r="B99" i="5"/>
  <c r="N98" i="5"/>
  <c r="M98" i="5"/>
  <c r="I98" i="5"/>
  <c r="F98" i="5"/>
  <c r="E98" i="5"/>
  <c r="D98" i="5"/>
  <c r="C98" i="5"/>
  <c r="B98" i="5"/>
  <c r="N97" i="5"/>
  <c r="M97" i="5"/>
  <c r="F97" i="5"/>
  <c r="E97" i="5"/>
  <c r="D97" i="5"/>
  <c r="I97" i="5" s="1"/>
  <c r="C97" i="5"/>
  <c r="B97" i="5"/>
  <c r="I96" i="5"/>
  <c r="E96" i="5"/>
  <c r="D96" i="5"/>
  <c r="C96" i="5"/>
  <c r="B96" i="5"/>
  <c r="E95" i="5"/>
  <c r="D95" i="5"/>
  <c r="I95" i="5" s="1"/>
  <c r="C95" i="5"/>
  <c r="B95" i="5"/>
  <c r="I94" i="5"/>
  <c r="F94" i="5"/>
  <c r="N94" i="5" s="1"/>
  <c r="E94" i="5"/>
  <c r="D94" i="5"/>
  <c r="C94" i="5"/>
  <c r="B94" i="5"/>
  <c r="N93" i="5"/>
  <c r="M93" i="5"/>
  <c r="I93" i="5"/>
  <c r="F93" i="5"/>
  <c r="E93" i="5"/>
  <c r="D93" i="5"/>
  <c r="C93" i="5"/>
  <c r="B93" i="5"/>
  <c r="N92" i="5"/>
  <c r="F92" i="5"/>
  <c r="E92" i="5"/>
  <c r="D92" i="5"/>
  <c r="I92" i="5" s="1"/>
  <c r="C92" i="5"/>
  <c r="B92" i="5"/>
  <c r="I91" i="5"/>
  <c r="J91" i="5" s="1"/>
  <c r="F91" i="5"/>
  <c r="M91" i="5" s="1"/>
  <c r="E91" i="5"/>
  <c r="D91" i="5"/>
  <c r="C91" i="5"/>
  <c r="B91" i="5"/>
  <c r="N90" i="5"/>
  <c r="M90" i="5"/>
  <c r="I90" i="5"/>
  <c r="F90" i="5"/>
  <c r="E90" i="5"/>
  <c r="D90" i="5"/>
  <c r="C90" i="5"/>
  <c r="B90" i="5"/>
  <c r="N89" i="5"/>
  <c r="M89" i="5"/>
  <c r="F89" i="5"/>
  <c r="E89" i="5"/>
  <c r="D89" i="5"/>
  <c r="C89" i="5"/>
  <c r="B89" i="5"/>
  <c r="I88" i="5"/>
  <c r="F88" i="5"/>
  <c r="E88" i="5"/>
  <c r="D88" i="5"/>
  <c r="C88" i="5"/>
  <c r="B88" i="5"/>
  <c r="F87" i="5"/>
  <c r="N87" i="5" s="1"/>
  <c r="E87" i="5"/>
  <c r="D87" i="5"/>
  <c r="I87" i="5" s="1"/>
  <c r="C87" i="5"/>
  <c r="B87" i="5"/>
  <c r="M86" i="5"/>
  <c r="I86" i="5"/>
  <c r="F86" i="5"/>
  <c r="N86" i="5" s="1"/>
  <c r="E86" i="5"/>
  <c r="D86" i="5"/>
  <c r="C86" i="5"/>
  <c r="B86" i="5"/>
  <c r="N85" i="5"/>
  <c r="M85" i="5"/>
  <c r="F85" i="5"/>
  <c r="L85" i="5" s="1"/>
  <c r="E85" i="5"/>
  <c r="D85" i="5"/>
  <c r="C85" i="5"/>
  <c r="B85" i="5"/>
  <c r="F84" i="5"/>
  <c r="E84" i="5"/>
  <c r="D84" i="5"/>
  <c r="I84" i="5" s="1"/>
  <c r="C84" i="5"/>
  <c r="B84" i="5"/>
  <c r="I83" i="5"/>
  <c r="F83" i="5"/>
  <c r="M83" i="5" s="1"/>
  <c r="E83" i="5"/>
  <c r="D83" i="5"/>
  <c r="C83" i="5"/>
  <c r="B83" i="5"/>
  <c r="N82" i="5"/>
  <c r="M82" i="5"/>
  <c r="F82" i="5"/>
  <c r="E82" i="5"/>
  <c r="D82" i="5"/>
  <c r="C82" i="5"/>
  <c r="B82" i="5"/>
  <c r="E81" i="5"/>
  <c r="D81" i="5"/>
  <c r="C81" i="5"/>
  <c r="B81" i="5"/>
  <c r="I80" i="5"/>
  <c r="F80" i="5"/>
  <c r="M80" i="5" s="1"/>
  <c r="E80" i="5"/>
  <c r="D80" i="5"/>
  <c r="C80" i="5"/>
  <c r="B80" i="5"/>
  <c r="M79" i="5"/>
  <c r="F79" i="5"/>
  <c r="N79" i="5" s="1"/>
  <c r="E79" i="5"/>
  <c r="D79" i="5"/>
  <c r="I79" i="5" s="1"/>
  <c r="C79" i="5"/>
  <c r="B79" i="5"/>
  <c r="E78" i="5"/>
  <c r="D78" i="5"/>
  <c r="C78" i="5"/>
  <c r="B78" i="5"/>
  <c r="I77" i="5"/>
  <c r="F77" i="5"/>
  <c r="N77" i="5" s="1"/>
  <c r="E77" i="5"/>
  <c r="D77" i="5"/>
  <c r="C77" i="5"/>
  <c r="B77" i="5"/>
  <c r="F76" i="5"/>
  <c r="N76" i="5" s="1"/>
  <c r="E76" i="5"/>
  <c r="D76" i="5"/>
  <c r="I76" i="5" s="1"/>
  <c r="C76" i="5"/>
  <c r="B76" i="5"/>
  <c r="I75" i="5"/>
  <c r="E75" i="5"/>
  <c r="D75" i="5"/>
  <c r="C75" i="5"/>
  <c r="B75" i="5"/>
  <c r="N74" i="5"/>
  <c r="M74" i="5"/>
  <c r="F74" i="5"/>
  <c r="E74" i="5"/>
  <c r="D74" i="5"/>
  <c r="I74" i="5" s="1"/>
  <c r="C74" i="5"/>
  <c r="B74" i="5"/>
  <c r="N73" i="5"/>
  <c r="I73" i="5"/>
  <c r="F73" i="5"/>
  <c r="M73" i="5" s="1"/>
  <c r="E73" i="5"/>
  <c r="D73" i="5"/>
  <c r="C73" i="5"/>
  <c r="B73" i="5"/>
  <c r="I72" i="5"/>
  <c r="E72" i="5"/>
  <c r="D72" i="5"/>
  <c r="C72" i="5"/>
  <c r="B72" i="5"/>
  <c r="N71" i="5"/>
  <c r="M71" i="5"/>
  <c r="F71" i="5"/>
  <c r="E71" i="5"/>
  <c r="D71" i="5"/>
  <c r="I71" i="5" s="1"/>
  <c r="C71" i="5"/>
  <c r="B71" i="5"/>
  <c r="E70" i="5"/>
  <c r="D70" i="5"/>
  <c r="I70" i="5" s="1"/>
  <c r="C70" i="5"/>
  <c r="B70" i="5"/>
  <c r="E69" i="5"/>
  <c r="D69" i="5"/>
  <c r="I69" i="5" s="1"/>
  <c r="C69" i="5"/>
  <c r="B69" i="5"/>
  <c r="E68" i="5"/>
  <c r="D68" i="5"/>
  <c r="I68" i="5" s="1"/>
  <c r="C68" i="5"/>
  <c r="B68" i="5"/>
  <c r="E67" i="5"/>
  <c r="D67" i="5"/>
  <c r="I67" i="5" s="1"/>
  <c r="J67" i="5" s="1"/>
  <c r="C67" i="5"/>
  <c r="B67" i="5"/>
  <c r="N66" i="5"/>
  <c r="M66" i="5"/>
  <c r="I66" i="5"/>
  <c r="F66" i="5"/>
  <c r="E66" i="5"/>
  <c r="D66" i="5"/>
  <c r="J66" i="5" s="1"/>
  <c r="K66" i="5" s="1"/>
  <c r="C66" i="5"/>
  <c r="B66" i="5"/>
  <c r="M65" i="5"/>
  <c r="I65" i="5"/>
  <c r="F65" i="5"/>
  <c r="N65" i="5" s="1"/>
  <c r="E65" i="5"/>
  <c r="D65" i="5"/>
  <c r="C65" i="5"/>
  <c r="B65" i="5"/>
  <c r="M64" i="5"/>
  <c r="I64" i="5"/>
  <c r="F64" i="5"/>
  <c r="E64" i="5"/>
  <c r="D64" i="5"/>
  <c r="C64" i="5"/>
  <c r="B64" i="5"/>
  <c r="F63" i="5"/>
  <c r="N63" i="5" s="1"/>
  <c r="E63" i="5"/>
  <c r="D63" i="5"/>
  <c r="I63" i="5" s="1"/>
  <c r="C63" i="5"/>
  <c r="B63" i="5"/>
  <c r="N62" i="5"/>
  <c r="I62" i="5"/>
  <c r="F62" i="5"/>
  <c r="M62" i="5" s="1"/>
  <c r="E62" i="5"/>
  <c r="D62" i="5"/>
  <c r="C62" i="5"/>
  <c r="B62" i="5"/>
  <c r="M61" i="5"/>
  <c r="I61" i="5"/>
  <c r="F61" i="5"/>
  <c r="E61" i="5"/>
  <c r="D61" i="5"/>
  <c r="C61" i="5"/>
  <c r="B61" i="5"/>
  <c r="N60" i="5"/>
  <c r="M60" i="5"/>
  <c r="F60" i="5"/>
  <c r="E60" i="5"/>
  <c r="D60" i="5"/>
  <c r="I60" i="5" s="1"/>
  <c r="C60" i="5"/>
  <c r="B60" i="5"/>
  <c r="I59" i="5"/>
  <c r="F59" i="5"/>
  <c r="M59" i="5" s="1"/>
  <c r="E59" i="5"/>
  <c r="D59" i="5"/>
  <c r="C59" i="5"/>
  <c r="B59" i="5"/>
  <c r="N58" i="5"/>
  <c r="M58" i="5"/>
  <c r="I58" i="5"/>
  <c r="F58" i="5"/>
  <c r="E58" i="5"/>
  <c r="D58" i="5"/>
  <c r="C58" i="5"/>
  <c r="B58" i="5"/>
  <c r="N57" i="5"/>
  <c r="M57" i="5"/>
  <c r="F57" i="5"/>
  <c r="E57" i="5"/>
  <c r="D57" i="5"/>
  <c r="C57" i="5"/>
  <c r="B57" i="5"/>
  <c r="I56" i="5"/>
  <c r="F56" i="5"/>
  <c r="E56" i="5"/>
  <c r="D56" i="5"/>
  <c r="C56" i="5"/>
  <c r="B56" i="5"/>
  <c r="E55" i="5"/>
  <c r="D55" i="5"/>
  <c r="I55" i="5" s="1"/>
  <c r="C55" i="5"/>
  <c r="B55" i="5"/>
  <c r="M54" i="5"/>
  <c r="I54" i="5"/>
  <c r="F54" i="5"/>
  <c r="N54" i="5" s="1"/>
  <c r="E54" i="5"/>
  <c r="D54" i="5"/>
  <c r="C54" i="5"/>
  <c r="B54" i="5"/>
  <c r="N53" i="5"/>
  <c r="M53" i="5"/>
  <c r="F53" i="5"/>
  <c r="E53" i="5"/>
  <c r="D53" i="5"/>
  <c r="I53" i="5" s="1"/>
  <c r="C53" i="5"/>
  <c r="B53" i="5"/>
  <c r="E52" i="5"/>
  <c r="D52" i="5"/>
  <c r="I52" i="5" s="1"/>
  <c r="C52" i="5"/>
  <c r="B52" i="5"/>
  <c r="E51" i="5"/>
  <c r="D51" i="5"/>
  <c r="I51" i="5" s="1"/>
  <c r="C51" i="5"/>
  <c r="B51" i="5"/>
  <c r="I50" i="5"/>
  <c r="E50" i="5"/>
  <c r="D50" i="5"/>
  <c r="C50" i="5"/>
  <c r="B50" i="5"/>
  <c r="N49" i="5"/>
  <c r="M49" i="5"/>
  <c r="I49" i="5"/>
  <c r="F49" i="5"/>
  <c r="E49" i="5"/>
  <c r="D49" i="5"/>
  <c r="C49" i="5"/>
  <c r="B49" i="5"/>
  <c r="I48" i="5"/>
  <c r="F48" i="5"/>
  <c r="E48" i="5"/>
  <c r="D48" i="5"/>
  <c r="C48" i="5"/>
  <c r="B48" i="5"/>
  <c r="F47" i="5"/>
  <c r="N47" i="5" s="1"/>
  <c r="E47" i="5"/>
  <c r="D47" i="5"/>
  <c r="I47" i="5" s="1"/>
  <c r="C47" i="5"/>
  <c r="B47" i="5"/>
  <c r="I46" i="5"/>
  <c r="E46" i="5"/>
  <c r="D46" i="5"/>
  <c r="C46" i="5"/>
  <c r="B46" i="5"/>
  <c r="M45" i="5"/>
  <c r="F45" i="5"/>
  <c r="N45" i="5" s="1"/>
  <c r="E45" i="5"/>
  <c r="D45" i="5"/>
  <c r="I45" i="5" s="1"/>
  <c r="C45" i="5"/>
  <c r="B45" i="5"/>
  <c r="N44" i="5"/>
  <c r="M44" i="5"/>
  <c r="F44" i="5"/>
  <c r="E44" i="5"/>
  <c r="D44" i="5"/>
  <c r="I44" i="5" s="1"/>
  <c r="C44" i="5"/>
  <c r="B44" i="5"/>
  <c r="I43" i="5"/>
  <c r="E43" i="5"/>
  <c r="D43" i="5"/>
  <c r="C43" i="5"/>
  <c r="B43" i="5"/>
  <c r="N42" i="5"/>
  <c r="M42" i="5"/>
  <c r="I42" i="5"/>
  <c r="F42" i="5"/>
  <c r="E42" i="5"/>
  <c r="D42" i="5"/>
  <c r="C42" i="5"/>
  <c r="B42" i="5"/>
  <c r="M41" i="5"/>
  <c r="F41" i="5"/>
  <c r="E41" i="5"/>
  <c r="D41" i="5"/>
  <c r="C41" i="5"/>
  <c r="B41" i="5"/>
  <c r="I40" i="5"/>
  <c r="E40" i="5"/>
  <c r="D40" i="5"/>
  <c r="C40" i="5"/>
  <c r="B40" i="5"/>
  <c r="E39" i="5"/>
  <c r="D39" i="5"/>
  <c r="I39" i="5" s="1"/>
  <c r="C39" i="5"/>
  <c r="B39" i="5"/>
  <c r="I38" i="5"/>
  <c r="E38" i="5"/>
  <c r="D38" i="5"/>
  <c r="C38" i="5"/>
  <c r="B38" i="5"/>
  <c r="I37" i="5"/>
  <c r="E37" i="5"/>
  <c r="D37" i="5"/>
  <c r="C37" i="5"/>
  <c r="B37" i="5"/>
  <c r="M36" i="5"/>
  <c r="F36" i="5"/>
  <c r="N36" i="5" s="1"/>
  <c r="E36" i="5"/>
  <c r="D36" i="5"/>
  <c r="I36" i="5" s="1"/>
  <c r="C36" i="5"/>
  <c r="B36" i="5"/>
  <c r="F35" i="5"/>
  <c r="M35" i="5" s="1"/>
  <c r="E35" i="5"/>
  <c r="D35" i="5"/>
  <c r="C35" i="5"/>
  <c r="B35" i="5"/>
  <c r="N34" i="5"/>
  <c r="M34" i="5"/>
  <c r="F34" i="5"/>
  <c r="E34" i="5"/>
  <c r="D34" i="5"/>
  <c r="C34" i="5"/>
  <c r="B34" i="5"/>
  <c r="I33" i="5"/>
  <c r="F33" i="5"/>
  <c r="N33" i="5" s="1"/>
  <c r="E33" i="5"/>
  <c r="D33" i="5"/>
  <c r="C33" i="5"/>
  <c r="B33" i="5"/>
  <c r="I32" i="5"/>
  <c r="E32" i="5"/>
  <c r="D32" i="5"/>
  <c r="C32" i="5"/>
  <c r="B32" i="5"/>
  <c r="N31" i="5"/>
  <c r="M31" i="5"/>
  <c r="F31" i="5"/>
  <c r="E31" i="5"/>
  <c r="D31" i="5"/>
  <c r="I31" i="5" s="1"/>
  <c r="C31" i="5"/>
  <c r="B31" i="5"/>
  <c r="E30" i="5"/>
  <c r="D30" i="5"/>
  <c r="C30" i="5"/>
  <c r="B30" i="5"/>
  <c r="I29" i="5"/>
  <c r="E29" i="5"/>
  <c r="D29" i="5"/>
  <c r="C29" i="5"/>
  <c r="B29" i="5"/>
  <c r="N28" i="5"/>
  <c r="M28" i="5"/>
  <c r="I28" i="5"/>
  <c r="F28" i="5"/>
  <c r="E28" i="5"/>
  <c r="D28" i="5"/>
  <c r="C28" i="5"/>
  <c r="B28" i="5"/>
  <c r="I27" i="5"/>
  <c r="E27" i="5"/>
  <c r="D27" i="5"/>
  <c r="C27" i="5"/>
  <c r="B27" i="5"/>
  <c r="M26" i="5"/>
  <c r="I26" i="5"/>
  <c r="F26" i="5"/>
  <c r="N26" i="5" s="1"/>
  <c r="E26" i="5"/>
  <c r="D26" i="5"/>
  <c r="C26" i="5"/>
  <c r="B26" i="5"/>
  <c r="N25" i="5"/>
  <c r="M25" i="5"/>
  <c r="F25" i="5"/>
  <c r="E25" i="5"/>
  <c r="D25" i="5"/>
  <c r="C25" i="5"/>
  <c r="B25" i="5"/>
  <c r="N24" i="5"/>
  <c r="I24" i="5"/>
  <c r="F24" i="5"/>
  <c r="M24" i="5" s="1"/>
  <c r="E24" i="5"/>
  <c r="D24" i="5"/>
  <c r="C24" i="5"/>
  <c r="B24" i="5"/>
  <c r="N23" i="5"/>
  <c r="M23" i="5"/>
  <c r="F23" i="5"/>
  <c r="E23" i="5"/>
  <c r="D23" i="5"/>
  <c r="C23" i="5"/>
  <c r="B23" i="5"/>
  <c r="I22" i="5"/>
  <c r="F22" i="5"/>
  <c r="N22" i="5" s="1"/>
  <c r="E22" i="5"/>
  <c r="D22" i="5"/>
  <c r="C22" i="5"/>
  <c r="B22" i="5"/>
  <c r="N21" i="5"/>
  <c r="M21" i="5"/>
  <c r="F21" i="5"/>
  <c r="E21" i="5"/>
  <c r="D21" i="5"/>
  <c r="C21" i="5"/>
  <c r="B21" i="5"/>
  <c r="I20" i="5"/>
  <c r="F20" i="5"/>
  <c r="N20" i="5" s="1"/>
  <c r="E20" i="5"/>
  <c r="D20" i="5"/>
  <c r="C20" i="5"/>
  <c r="B20" i="5"/>
  <c r="N19" i="5"/>
  <c r="M19" i="5"/>
  <c r="F19" i="5"/>
  <c r="E19" i="5"/>
  <c r="D19" i="5"/>
  <c r="C19" i="5"/>
  <c r="B19" i="5"/>
  <c r="I18" i="5"/>
  <c r="F18" i="5"/>
  <c r="N18" i="5" s="1"/>
  <c r="E18" i="5"/>
  <c r="D18" i="5"/>
  <c r="C18" i="5"/>
  <c r="B18" i="5"/>
  <c r="E17" i="5"/>
  <c r="D17" i="5"/>
  <c r="C17" i="5"/>
  <c r="B17" i="5"/>
  <c r="I16" i="5"/>
  <c r="F16" i="5"/>
  <c r="N16" i="5" s="1"/>
  <c r="E16" i="5"/>
  <c r="D16" i="5"/>
  <c r="C16" i="5"/>
  <c r="B16" i="5"/>
  <c r="N15" i="5"/>
  <c r="M15" i="5"/>
  <c r="F15" i="5"/>
  <c r="E15" i="5"/>
  <c r="D15" i="5"/>
  <c r="C15" i="5"/>
  <c r="B15" i="5"/>
  <c r="I14" i="5"/>
  <c r="F14" i="5"/>
  <c r="N14" i="5" s="1"/>
  <c r="E14" i="5"/>
  <c r="D14" i="5"/>
  <c r="C14" i="5"/>
  <c r="B14" i="5"/>
  <c r="N13" i="5"/>
  <c r="M13" i="5"/>
  <c r="F13" i="5"/>
  <c r="E13" i="5"/>
  <c r="D13" i="5"/>
  <c r="C13" i="5"/>
  <c r="B13" i="5"/>
  <c r="I12" i="5"/>
  <c r="E12" i="5"/>
  <c r="D12" i="5"/>
  <c r="C12" i="5"/>
  <c r="B12" i="5"/>
  <c r="N11" i="5"/>
  <c r="M11" i="5"/>
  <c r="F11" i="5"/>
  <c r="E11" i="5"/>
  <c r="D11" i="5"/>
  <c r="C11" i="5"/>
  <c r="B11" i="5"/>
  <c r="I10" i="5"/>
  <c r="F10" i="5"/>
  <c r="N10" i="5" s="1"/>
  <c r="E10" i="5"/>
  <c r="D10" i="5"/>
  <c r="C10" i="5"/>
  <c r="B10" i="5"/>
  <c r="E9" i="5"/>
  <c r="D9" i="5"/>
  <c r="C9" i="5"/>
  <c r="B9" i="5"/>
  <c r="I8" i="5"/>
  <c r="E8" i="5"/>
  <c r="D8" i="5"/>
  <c r="C8" i="5"/>
  <c r="B8" i="5"/>
  <c r="N7" i="5"/>
  <c r="M7" i="5"/>
  <c r="F7" i="5"/>
  <c r="E7" i="5"/>
  <c r="D7" i="5"/>
  <c r="C7" i="5"/>
  <c r="B7" i="5"/>
  <c r="I6" i="5"/>
  <c r="E6" i="5"/>
  <c r="D6" i="5"/>
  <c r="C6" i="5"/>
  <c r="B6" i="5"/>
  <c r="N5" i="5"/>
  <c r="M5" i="5"/>
  <c r="F5" i="5"/>
  <c r="E5" i="5"/>
  <c r="D5" i="5"/>
  <c r="C5" i="5"/>
  <c r="B5" i="5"/>
  <c r="I4" i="5"/>
  <c r="E4" i="5"/>
  <c r="D4" i="5"/>
  <c r="C4" i="5"/>
  <c r="B4" i="5"/>
  <c r="E3" i="5"/>
  <c r="D3" i="5"/>
  <c r="C3" i="5"/>
  <c r="B3" i="5"/>
  <c r="I2" i="5"/>
  <c r="E2" i="5"/>
  <c r="D2" i="5"/>
  <c r="C2" i="5"/>
  <c r="B2" i="5"/>
  <c r="D12" i="4"/>
  <c r="E12" i="4" s="1"/>
  <c r="D9" i="4"/>
  <c r="E9" i="4" s="1"/>
  <c r="C29" i="3"/>
  <c r="C28" i="3"/>
  <c r="C27" i="3"/>
  <c r="C26" i="3"/>
  <c r="C25" i="3"/>
  <c r="C24" i="3"/>
  <c r="C23" i="3"/>
  <c r="C22" i="3"/>
  <c r="C21" i="3"/>
  <c r="C5" i="3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I105" i="2"/>
  <c r="G105" i="5" s="1"/>
  <c r="L105" i="5" s="1"/>
  <c r="I104" i="2"/>
  <c r="G104" i="5" s="1"/>
  <c r="J104" i="5" s="1"/>
  <c r="K104" i="5" s="1"/>
  <c r="I103" i="2"/>
  <c r="G103" i="5" s="1"/>
  <c r="I102" i="2"/>
  <c r="I101" i="2"/>
  <c r="G101" i="5" s="1"/>
  <c r="J100" i="2"/>
  <c r="I100" i="2"/>
  <c r="G100" i="5" s="1"/>
  <c r="J99" i="2"/>
  <c r="I99" i="2"/>
  <c r="G99" i="5" s="1"/>
  <c r="I98" i="2"/>
  <c r="I97" i="2"/>
  <c r="G97" i="5" s="1"/>
  <c r="L97" i="5" s="1"/>
  <c r="J96" i="2"/>
  <c r="I96" i="2"/>
  <c r="G96" i="5" s="1"/>
  <c r="I95" i="2"/>
  <c r="G95" i="5" s="1"/>
  <c r="I94" i="2"/>
  <c r="J93" i="2"/>
  <c r="I93" i="2"/>
  <c r="G93" i="5" s="1"/>
  <c r="L93" i="5" s="1"/>
  <c r="I92" i="2"/>
  <c r="G92" i="5" s="1"/>
  <c r="J91" i="2"/>
  <c r="I91" i="2"/>
  <c r="G91" i="5" s="1"/>
  <c r="I90" i="2"/>
  <c r="I89" i="2"/>
  <c r="G89" i="5" s="1"/>
  <c r="I88" i="2"/>
  <c r="G88" i="5" s="1"/>
  <c r="I87" i="2"/>
  <c r="G87" i="5" s="1"/>
  <c r="J87" i="5" s="1"/>
  <c r="K87" i="5" s="1"/>
  <c r="I86" i="2"/>
  <c r="J85" i="2"/>
  <c r="I85" i="2"/>
  <c r="G85" i="5" s="1"/>
  <c r="J84" i="2"/>
  <c r="I84" i="2"/>
  <c r="G84" i="5" s="1"/>
  <c r="I83" i="2"/>
  <c r="G83" i="5" s="1"/>
  <c r="J83" i="5" s="1"/>
  <c r="K83" i="5" s="1"/>
  <c r="I82" i="2"/>
  <c r="I81" i="2"/>
  <c r="G81" i="5" s="1"/>
  <c r="I80" i="2"/>
  <c r="G80" i="5" s="1"/>
  <c r="I79" i="2"/>
  <c r="G79" i="5" s="1"/>
  <c r="I78" i="2"/>
  <c r="J77" i="2"/>
  <c r="I77" i="2"/>
  <c r="G77" i="5" s="1"/>
  <c r="J76" i="2"/>
  <c r="I76" i="2"/>
  <c r="G76" i="5" s="1"/>
  <c r="J75" i="2"/>
  <c r="I75" i="2"/>
  <c r="G75" i="5" s="1"/>
  <c r="J75" i="5" s="1"/>
  <c r="I74" i="2"/>
  <c r="J73" i="2"/>
  <c r="I73" i="2"/>
  <c r="G73" i="5" s="1"/>
  <c r="J73" i="5" s="1"/>
  <c r="I72" i="2"/>
  <c r="G72" i="5" s="1"/>
  <c r="J72" i="5" s="1"/>
  <c r="I71" i="2"/>
  <c r="G71" i="5" s="1"/>
  <c r="L71" i="5" s="1"/>
  <c r="I70" i="2"/>
  <c r="G70" i="5" s="1"/>
  <c r="J69" i="2"/>
  <c r="I69" i="2"/>
  <c r="G69" i="5" s="1"/>
  <c r="I68" i="2"/>
  <c r="G68" i="5" s="1"/>
  <c r="J68" i="5" s="1"/>
  <c r="I67" i="2"/>
  <c r="G67" i="5" s="1"/>
  <c r="I66" i="2"/>
  <c r="G66" i="5" s="1"/>
  <c r="I65" i="2"/>
  <c r="G65" i="5" s="1"/>
  <c r="L65" i="5" s="1"/>
  <c r="I64" i="2"/>
  <c r="G64" i="5" s="1"/>
  <c r="J64" i="5" s="1"/>
  <c r="K64" i="5" s="1"/>
  <c r="I63" i="2"/>
  <c r="G63" i="5" s="1"/>
  <c r="I62" i="2"/>
  <c r="G62" i="5" s="1"/>
  <c r="I61" i="2"/>
  <c r="G61" i="5" s="1"/>
  <c r="J61" i="5" s="1"/>
  <c r="I60" i="2"/>
  <c r="G60" i="5" s="1"/>
  <c r="J60" i="5" s="1"/>
  <c r="K60" i="5" s="1"/>
  <c r="I59" i="2"/>
  <c r="G59" i="5" s="1"/>
  <c r="L59" i="5" s="1"/>
  <c r="I58" i="2"/>
  <c r="G58" i="5" s="1"/>
  <c r="J58" i="5" s="1"/>
  <c r="K58" i="5" s="1"/>
  <c r="I57" i="2"/>
  <c r="G57" i="5" s="1"/>
  <c r="L57" i="5" s="1"/>
  <c r="I56" i="2"/>
  <c r="G56" i="5" s="1"/>
  <c r="J56" i="5" s="1"/>
  <c r="I55" i="2"/>
  <c r="G55" i="5" s="1"/>
  <c r="J55" i="5" s="1"/>
  <c r="I54" i="2"/>
  <c r="G54" i="5" s="1"/>
  <c r="J54" i="5" s="1"/>
  <c r="I53" i="2"/>
  <c r="G53" i="5" s="1"/>
  <c r="L53" i="5" s="1"/>
  <c r="I52" i="2"/>
  <c r="G52" i="5" s="1"/>
  <c r="I51" i="2"/>
  <c r="G51" i="5" s="1"/>
  <c r="I50" i="2"/>
  <c r="G50" i="5" s="1"/>
  <c r="J50" i="5" s="1"/>
  <c r="I49" i="2"/>
  <c r="G49" i="5" s="1"/>
  <c r="I48" i="2"/>
  <c r="G48" i="5" s="1"/>
  <c r="J48" i="5" s="1"/>
  <c r="K48" i="5" s="1"/>
  <c r="I47" i="2"/>
  <c r="G47" i="5" s="1"/>
  <c r="I46" i="2"/>
  <c r="G46" i="5" s="1"/>
  <c r="I45" i="2"/>
  <c r="G45" i="5" s="1"/>
  <c r="I44" i="2"/>
  <c r="G44" i="5" s="1"/>
  <c r="J44" i="5" s="1"/>
  <c r="I43" i="2"/>
  <c r="G43" i="5" s="1"/>
  <c r="I42" i="2"/>
  <c r="G42" i="5" s="1"/>
  <c r="I41" i="2"/>
  <c r="G41" i="5" s="1"/>
  <c r="L41" i="5" s="1"/>
  <c r="I40" i="2"/>
  <c r="G40" i="5" s="1"/>
  <c r="J40" i="5" s="1"/>
  <c r="I39" i="2"/>
  <c r="G39" i="5" s="1"/>
  <c r="J39" i="5" s="1"/>
  <c r="I38" i="2"/>
  <c r="G38" i="5" s="1"/>
  <c r="J37" i="2"/>
  <c r="I37" i="2"/>
  <c r="G37" i="5" s="1"/>
  <c r="J37" i="5" s="1"/>
  <c r="I36" i="2"/>
  <c r="G36" i="5" s="1"/>
  <c r="J36" i="5" s="1"/>
  <c r="K36" i="5" s="1"/>
  <c r="I35" i="2"/>
  <c r="G35" i="5" s="1"/>
  <c r="L35" i="5" s="1"/>
  <c r="I34" i="2"/>
  <c r="G34" i="5" s="1"/>
  <c r="I33" i="2"/>
  <c r="G33" i="5" s="1"/>
  <c r="I32" i="2"/>
  <c r="G32" i="5" s="1"/>
  <c r="J32" i="5" s="1"/>
  <c r="I31" i="2"/>
  <c r="G31" i="5" s="1"/>
  <c r="I30" i="2"/>
  <c r="G30" i="5" s="1"/>
  <c r="I29" i="2"/>
  <c r="G29" i="5" s="1"/>
  <c r="J29" i="5" s="1"/>
  <c r="I28" i="2"/>
  <c r="G28" i="5" s="1"/>
  <c r="L28" i="5" s="1"/>
  <c r="I27" i="2"/>
  <c r="G27" i="5" s="1"/>
  <c r="I26" i="2"/>
  <c r="G26" i="5" s="1"/>
  <c r="I25" i="2"/>
  <c r="G25" i="5" s="1"/>
  <c r="L25" i="5" s="1"/>
  <c r="I24" i="2"/>
  <c r="G24" i="5" s="1"/>
  <c r="L24" i="5" s="1"/>
  <c r="I23" i="2"/>
  <c r="G23" i="5" s="1"/>
  <c r="L23" i="5" s="1"/>
  <c r="I22" i="2"/>
  <c r="G22" i="5" s="1"/>
  <c r="I21" i="2"/>
  <c r="G21" i="5" s="1"/>
  <c r="L21" i="5" s="1"/>
  <c r="I20" i="2"/>
  <c r="G20" i="5" s="1"/>
  <c r="I19" i="2"/>
  <c r="G19" i="5" s="1"/>
  <c r="L19" i="5" s="1"/>
  <c r="I18" i="2"/>
  <c r="G18" i="5" s="1"/>
  <c r="I17" i="2"/>
  <c r="G17" i="5" s="1"/>
  <c r="I16" i="2"/>
  <c r="G16" i="5" s="1"/>
  <c r="I15" i="2"/>
  <c r="G15" i="5" s="1"/>
  <c r="L15" i="5" s="1"/>
  <c r="I14" i="2"/>
  <c r="G14" i="5" s="1"/>
  <c r="I13" i="2"/>
  <c r="G13" i="5" s="1"/>
  <c r="L13" i="5" s="1"/>
  <c r="I12" i="2"/>
  <c r="G12" i="5" s="1"/>
  <c r="I11" i="2"/>
  <c r="G11" i="5" s="1"/>
  <c r="L11" i="5" s="1"/>
  <c r="I10" i="2"/>
  <c r="G10" i="5" s="1"/>
  <c r="I9" i="2"/>
  <c r="G9" i="5" s="1"/>
  <c r="I8" i="2"/>
  <c r="G8" i="5" s="1"/>
  <c r="I7" i="2"/>
  <c r="G7" i="5" s="1"/>
  <c r="L7" i="5" s="1"/>
  <c r="I6" i="2"/>
  <c r="G6" i="5" s="1"/>
  <c r="I5" i="2"/>
  <c r="G5" i="5" s="1"/>
  <c r="L5" i="5" s="1"/>
  <c r="I4" i="2"/>
  <c r="G4" i="5" s="1"/>
  <c r="I3" i="2"/>
  <c r="G3" i="5" s="1"/>
  <c r="I2" i="2"/>
  <c r="G2" i="5" s="1"/>
  <c r="C42" i="1"/>
  <c r="C41" i="1"/>
  <c r="C39" i="1"/>
  <c r="C37" i="1"/>
  <c r="C35" i="1"/>
  <c r="C34" i="1"/>
  <c r="C29" i="1"/>
  <c r="C23" i="1"/>
  <c r="C22" i="1"/>
  <c r="C38" i="1" s="1"/>
  <c r="C21" i="1"/>
  <c r="C40" i="1" s="1"/>
  <c r="C20" i="1"/>
  <c r="C36" i="1" s="1"/>
  <c r="F69" i="5" l="1"/>
  <c r="F68" i="5"/>
  <c r="D10" i="4"/>
  <c r="E10" i="4" s="1"/>
  <c r="L49" i="5"/>
  <c r="J49" i="5"/>
  <c r="G82" i="5"/>
  <c r="J82" i="2"/>
  <c r="J24" i="5"/>
  <c r="J76" i="5"/>
  <c r="K76" i="5" s="1"/>
  <c r="J80" i="5"/>
  <c r="F96" i="5"/>
  <c r="J21" i="2"/>
  <c r="J53" i="2"/>
  <c r="G78" i="5"/>
  <c r="J78" i="2"/>
  <c r="J87" i="2"/>
  <c r="L101" i="5"/>
  <c r="J101" i="5"/>
  <c r="K101" i="5" s="1"/>
  <c r="J10" i="5"/>
  <c r="J18" i="5"/>
  <c r="J38" i="5"/>
  <c r="J45" i="5"/>
  <c r="J46" i="5"/>
  <c r="F72" i="5"/>
  <c r="J96" i="5"/>
  <c r="J26" i="5"/>
  <c r="L26" i="5"/>
  <c r="F3" i="5"/>
  <c r="J14" i="5"/>
  <c r="F38" i="5"/>
  <c r="K61" i="5"/>
  <c r="F67" i="5"/>
  <c r="G74" i="5"/>
  <c r="J74" i="2"/>
  <c r="J79" i="5"/>
  <c r="K79" i="5" s="1"/>
  <c r="L79" i="5"/>
  <c r="J83" i="2"/>
  <c r="J92" i="2"/>
  <c r="J101" i="2"/>
  <c r="J2" i="2"/>
  <c r="J6" i="2"/>
  <c r="J10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9" i="2"/>
  <c r="J88" i="2"/>
  <c r="J97" i="2"/>
  <c r="G102" i="5"/>
  <c r="J102" i="2"/>
  <c r="J6" i="5"/>
  <c r="F9" i="5"/>
  <c r="F17" i="5"/>
  <c r="J22" i="5"/>
  <c r="F55" i="5"/>
  <c r="J59" i="5"/>
  <c r="J81" i="5"/>
  <c r="J11" i="5"/>
  <c r="K11" i="5" s="1"/>
  <c r="J27" i="5"/>
  <c r="J33" i="5"/>
  <c r="K44" i="5"/>
  <c r="J53" i="5"/>
  <c r="K53" i="5" s="1"/>
  <c r="J74" i="5"/>
  <c r="K74" i="5" s="1"/>
  <c r="F78" i="5"/>
  <c r="J84" i="5"/>
  <c r="J97" i="5"/>
  <c r="J9" i="2"/>
  <c r="J98" i="2"/>
  <c r="G98" i="5"/>
  <c r="J3" i="2"/>
  <c r="J7" i="2"/>
  <c r="J11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80" i="2"/>
  <c r="J89" i="2"/>
  <c r="J94" i="2"/>
  <c r="G94" i="5"/>
  <c r="J103" i="2"/>
  <c r="J12" i="5"/>
  <c r="F30" i="5"/>
  <c r="J42" i="5"/>
  <c r="K42" i="5" s="1"/>
  <c r="J43" i="5"/>
  <c r="J65" i="5"/>
  <c r="J70" i="5"/>
  <c r="J77" i="5"/>
  <c r="J93" i="5"/>
  <c r="K93" i="5" s="1"/>
  <c r="J94" i="5"/>
  <c r="F108" i="5"/>
  <c r="J5" i="2"/>
  <c r="J13" i="2"/>
  <c r="J17" i="2"/>
  <c r="J25" i="2"/>
  <c r="J33" i="2"/>
  <c r="J41" i="2"/>
  <c r="J45" i="2"/>
  <c r="J49" i="2"/>
  <c r="J57" i="2"/>
  <c r="J61" i="2"/>
  <c r="J65" i="2"/>
  <c r="F40" i="5"/>
  <c r="F46" i="5"/>
  <c r="F39" i="5"/>
  <c r="F32" i="5"/>
  <c r="G90" i="5"/>
  <c r="J90" i="5" s="1"/>
  <c r="K90" i="5" s="1"/>
  <c r="J90" i="2"/>
  <c r="J2" i="5"/>
  <c r="J7" i="5"/>
  <c r="K7" i="5" s="1"/>
  <c r="J20" i="5"/>
  <c r="J23" i="5"/>
  <c r="K23" i="5" s="1"/>
  <c r="F43" i="5"/>
  <c r="J98" i="5"/>
  <c r="K98" i="5" s="1"/>
  <c r="J105" i="5"/>
  <c r="K105" i="5" s="1"/>
  <c r="F37" i="5"/>
  <c r="F51" i="5"/>
  <c r="F12" i="5"/>
  <c r="F8" i="5"/>
  <c r="F6" i="5"/>
  <c r="F4" i="5"/>
  <c r="F2" i="5"/>
  <c r="F75" i="5"/>
  <c r="F95" i="5"/>
  <c r="F81" i="5"/>
  <c r="F70" i="5"/>
  <c r="F52" i="5"/>
  <c r="J29" i="2"/>
  <c r="L31" i="5"/>
  <c r="J31" i="5"/>
  <c r="K31" i="5" s="1"/>
  <c r="J4" i="2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81" i="2"/>
  <c r="G86" i="5"/>
  <c r="J86" i="5" s="1"/>
  <c r="J86" i="2"/>
  <c r="J95" i="2"/>
  <c r="J104" i="2"/>
  <c r="C30" i="3"/>
  <c r="J4" i="5"/>
  <c r="J8" i="5"/>
  <c r="J16" i="5"/>
  <c r="J28" i="5"/>
  <c r="J41" i="5"/>
  <c r="K41" i="5" s="1"/>
  <c r="J62" i="5"/>
  <c r="J82" i="5"/>
  <c r="K82" i="5" s="1"/>
  <c r="J88" i="5"/>
  <c r="K88" i="5" s="1"/>
  <c r="L103" i="5"/>
  <c r="N35" i="5"/>
  <c r="L48" i="5"/>
  <c r="N48" i="5"/>
  <c r="J51" i="5"/>
  <c r="L61" i="5"/>
  <c r="J69" i="5"/>
  <c r="L84" i="5"/>
  <c r="L114" i="5"/>
  <c r="L33" i="5"/>
  <c r="I41" i="5"/>
  <c r="L47" i="5"/>
  <c r="L56" i="5"/>
  <c r="N56" i="5"/>
  <c r="L88" i="5"/>
  <c r="N88" i="5"/>
  <c r="L102" i="5"/>
  <c r="K10" i="5"/>
  <c r="K14" i="5"/>
  <c r="K16" i="5"/>
  <c r="K18" i="5"/>
  <c r="K20" i="5"/>
  <c r="L22" i="5"/>
  <c r="I25" i="5"/>
  <c r="J25" i="5" s="1"/>
  <c r="K25" i="5" s="1"/>
  <c r="K28" i="5"/>
  <c r="I30" i="5"/>
  <c r="J30" i="5" s="1"/>
  <c r="M33" i="5"/>
  <c r="I34" i="5"/>
  <c r="J34" i="5" s="1"/>
  <c r="K34" i="5" s="1"/>
  <c r="M47" i="5"/>
  <c r="K49" i="5"/>
  <c r="J52" i="5"/>
  <c r="L60" i="5"/>
  <c r="N61" i="5"/>
  <c r="J63" i="5"/>
  <c r="L73" i="5"/>
  <c r="M76" i="5"/>
  <c r="I81" i="5"/>
  <c r="L83" i="5"/>
  <c r="L87" i="5"/>
  <c r="L92" i="5"/>
  <c r="J95" i="5"/>
  <c r="L10" i="5"/>
  <c r="L14" i="5"/>
  <c r="L16" i="5"/>
  <c r="L18" i="5"/>
  <c r="L20" i="5"/>
  <c r="M22" i="5"/>
  <c r="I23" i="5"/>
  <c r="F50" i="5"/>
  <c r="K59" i="5"/>
  <c r="K63" i="5"/>
  <c r="L64" i="5"/>
  <c r="N64" i="5"/>
  <c r="K77" i="5"/>
  <c r="K80" i="5"/>
  <c r="N83" i="5"/>
  <c r="K84" i="5"/>
  <c r="I85" i="5"/>
  <c r="J85" i="5" s="1"/>
  <c r="K85" i="5" s="1"/>
  <c r="M87" i="5"/>
  <c r="K91" i="5"/>
  <c r="M94" i="5"/>
  <c r="I99" i="5"/>
  <c r="J99" i="5" s="1"/>
  <c r="K99" i="5" s="1"/>
  <c r="I102" i="5"/>
  <c r="J102" i="5" s="1"/>
  <c r="K102" i="5" s="1"/>
  <c r="E27" i="3" s="1"/>
  <c r="M114" i="5"/>
  <c r="J116" i="5"/>
  <c r="K116" i="5" s="1"/>
  <c r="I116" i="5"/>
  <c r="J119" i="5"/>
  <c r="K119" i="5" s="1"/>
  <c r="I119" i="5"/>
  <c r="I3" i="5"/>
  <c r="J3" i="5" s="1"/>
  <c r="I5" i="5"/>
  <c r="J5" i="5" s="1"/>
  <c r="K5" i="5" s="1"/>
  <c r="I7" i="5"/>
  <c r="I9" i="5"/>
  <c r="J9" i="5" s="1"/>
  <c r="M10" i="5"/>
  <c r="I11" i="5"/>
  <c r="I13" i="5"/>
  <c r="J13" i="5" s="1"/>
  <c r="K13" i="5" s="1"/>
  <c r="M14" i="5"/>
  <c r="I15" i="5"/>
  <c r="J15" i="5" s="1"/>
  <c r="K15" i="5" s="1"/>
  <c r="M16" i="5"/>
  <c r="I17" i="5"/>
  <c r="J17" i="5" s="1"/>
  <c r="M18" i="5"/>
  <c r="I19" i="5"/>
  <c r="J19" i="5" s="1"/>
  <c r="K19" i="5" s="1"/>
  <c r="M20" i="5"/>
  <c r="I21" i="5"/>
  <c r="J21" i="5" s="1"/>
  <c r="K21" i="5" s="1"/>
  <c r="K26" i="5"/>
  <c r="F29" i="5"/>
  <c r="I35" i="5"/>
  <c r="J35" i="5" s="1"/>
  <c r="K35" i="5" s="1"/>
  <c r="K45" i="5"/>
  <c r="I57" i="5"/>
  <c r="J57" i="5" s="1"/>
  <c r="K57" i="5" s="1"/>
  <c r="L63" i="5"/>
  <c r="J71" i="5"/>
  <c r="K71" i="5" s="1"/>
  <c r="L77" i="5"/>
  <c r="M84" i="5"/>
  <c r="I89" i="5"/>
  <c r="J89" i="5" s="1"/>
  <c r="K89" i="5" s="1"/>
  <c r="L91" i="5"/>
  <c r="J92" i="5"/>
  <c r="K92" i="5" s="1"/>
  <c r="L100" i="5"/>
  <c r="J103" i="5"/>
  <c r="K103" i="5" s="1"/>
  <c r="I112" i="5"/>
  <c r="N114" i="5"/>
  <c r="J121" i="5"/>
  <c r="I121" i="5"/>
  <c r="K24" i="5"/>
  <c r="L36" i="5"/>
  <c r="N41" i="5"/>
  <c r="L45" i="5"/>
  <c r="M48" i="5"/>
  <c r="L54" i="5"/>
  <c r="K54" i="5"/>
  <c r="K56" i="5"/>
  <c r="N59" i="5"/>
  <c r="M63" i="5"/>
  <c r="K65" i="5"/>
  <c r="M77" i="5"/>
  <c r="I78" i="5"/>
  <c r="J78" i="5" s="1"/>
  <c r="I82" i="5"/>
  <c r="N84" i="5"/>
  <c r="L86" i="5"/>
  <c r="K86" i="5"/>
  <c r="N91" i="5"/>
  <c r="K97" i="5"/>
  <c r="M102" i="5"/>
  <c r="L104" i="5"/>
  <c r="N104" i="5"/>
  <c r="K112" i="5"/>
  <c r="L116" i="5"/>
  <c r="M116" i="5"/>
  <c r="K22" i="5"/>
  <c r="F27" i="5"/>
  <c r="K33" i="5"/>
  <c r="M56" i="5"/>
  <c r="L76" i="5"/>
  <c r="M88" i="5"/>
  <c r="L89" i="5"/>
  <c r="M92" i="5"/>
  <c r="L99" i="5"/>
  <c r="J100" i="5"/>
  <c r="K100" i="5" s="1"/>
  <c r="N102" i="5"/>
  <c r="I107" i="5"/>
  <c r="K109" i="5"/>
  <c r="M112" i="5"/>
  <c r="I113" i="5"/>
  <c r="J114" i="5"/>
  <c r="K114" i="5" s="1"/>
  <c r="J117" i="5"/>
  <c r="K117" i="5" s="1"/>
  <c r="L118" i="5"/>
  <c r="N118" i="5"/>
  <c r="M118" i="5"/>
  <c r="K118" i="5"/>
  <c r="K121" i="5"/>
  <c r="L44" i="5"/>
  <c r="J47" i="5"/>
  <c r="K47" i="5" s="1"/>
  <c r="L62" i="5"/>
  <c r="K62" i="5"/>
  <c r="K73" i="5"/>
  <c r="L80" i="5"/>
  <c r="N80" i="5"/>
  <c r="L94" i="5"/>
  <c r="K94" i="5"/>
  <c r="L109" i="5"/>
  <c r="J110" i="5"/>
  <c r="K110" i="5" s="1"/>
  <c r="N112" i="5"/>
  <c r="N116" i="5"/>
  <c r="L120" i="5"/>
  <c r="D29" i="3" s="1"/>
  <c r="N120" i="5"/>
  <c r="M120" i="5"/>
  <c r="K120" i="5"/>
  <c r="L34" i="5"/>
  <c r="L42" i="5"/>
  <c r="L58" i="5"/>
  <c r="L66" i="5"/>
  <c r="L74" i="5"/>
  <c r="L82" i="5"/>
  <c r="D25" i="3" s="1"/>
  <c r="L90" i="5"/>
  <c r="L98" i="5"/>
  <c r="L106" i="5"/>
  <c r="N122" i="5"/>
  <c r="M122" i="5"/>
  <c r="L122" i="5"/>
  <c r="I123" i="5"/>
  <c r="K123" i="5"/>
  <c r="L123" i="5"/>
  <c r="M123" i="5"/>
  <c r="D13" i="4" l="1"/>
  <c r="E13" i="4" s="1"/>
  <c r="K81" i="5"/>
  <c r="N81" i="5"/>
  <c r="M81" i="5"/>
  <c r="L81" i="5"/>
  <c r="C11" i="3"/>
  <c r="D28" i="3"/>
  <c r="N95" i="5"/>
  <c r="M95" i="5"/>
  <c r="L95" i="5"/>
  <c r="K95" i="5"/>
  <c r="E26" i="3" s="1"/>
  <c r="N37" i="5"/>
  <c r="M37" i="5"/>
  <c r="L37" i="5"/>
  <c r="K37" i="5"/>
  <c r="N55" i="5"/>
  <c r="M55" i="5"/>
  <c r="L55" i="5"/>
  <c r="K55" i="5"/>
  <c r="N29" i="5"/>
  <c r="M29" i="5"/>
  <c r="L29" i="5"/>
  <c r="K29" i="5"/>
  <c r="N27" i="5"/>
  <c r="M27" i="5"/>
  <c r="L27" i="5"/>
  <c r="K27" i="5"/>
  <c r="M51" i="5"/>
  <c r="N51" i="5"/>
  <c r="L51" i="5"/>
  <c r="K51" i="5"/>
  <c r="E24" i="3"/>
  <c r="E29" i="3"/>
  <c r="M75" i="5"/>
  <c r="K75" i="5"/>
  <c r="N75" i="5"/>
  <c r="L75" i="5"/>
  <c r="L72" i="5"/>
  <c r="D24" i="3" s="1"/>
  <c r="N72" i="5"/>
  <c r="M72" i="5"/>
  <c r="K72" i="5"/>
  <c r="N2" i="5"/>
  <c r="M2" i="5"/>
  <c r="L2" i="5"/>
  <c r="K2" i="5"/>
  <c r="D7" i="4" s="1"/>
  <c r="E7" i="4" s="1"/>
  <c r="D11" i="4"/>
  <c r="E11" i="4" s="1"/>
  <c r="L108" i="5"/>
  <c r="N108" i="5"/>
  <c r="M108" i="5"/>
  <c r="K108" i="5"/>
  <c r="E28" i="3" s="1"/>
  <c r="L30" i="5"/>
  <c r="K30" i="5"/>
  <c r="N30" i="5"/>
  <c r="M30" i="5"/>
  <c r="L78" i="5"/>
  <c r="K78" i="5"/>
  <c r="M78" i="5"/>
  <c r="N78" i="5"/>
  <c r="L17" i="5"/>
  <c r="K17" i="5"/>
  <c r="N17" i="5"/>
  <c r="M17" i="5"/>
  <c r="L96" i="5"/>
  <c r="N96" i="5"/>
  <c r="K96" i="5"/>
  <c r="M96" i="5"/>
  <c r="E25" i="3"/>
  <c r="L9" i="5"/>
  <c r="K9" i="5"/>
  <c r="N9" i="5"/>
  <c r="M9" i="5"/>
  <c r="N6" i="5"/>
  <c r="M6" i="5"/>
  <c r="L6" i="5"/>
  <c r="K6" i="5"/>
  <c r="M43" i="5"/>
  <c r="N43" i="5"/>
  <c r="L43" i="5"/>
  <c r="K43" i="5"/>
  <c r="L39" i="5"/>
  <c r="K39" i="5"/>
  <c r="N39" i="5"/>
  <c r="M39" i="5"/>
  <c r="M67" i="5"/>
  <c r="N67" i="5"/>
  <c r="L67" i="5"/>
  <c r="K67" i="5"/>
  <c r="L3" i="5"/>
  <c r="K3" i="5"/>
  <c r="N3" i="5"/>
  <c r="M3" i="5"/>
  <c r="N4" i="5"/>
  <c r="M4" i="5"/>
  <c r="L4" i="5"/>
  <c r="K4" i="5"/>
  <c r="L32" i="5"/>
  <c r="N32" i="5"/>
  <c r="M32" i="5"/>
  <c r="K32" i="5"/>
  <c r="L50" i="5"/>
  <c r="D23" i="3" s="1"/>
  <c r="K50" i="5"/>
  <c r="E23" i="3" s="1"/>
  <c r="N50" i="5"/>
  <c r="M50" i="5"/>
  <c r="L52" i="5"/>
  <c r="N52" i="5"/>
  <c r="M52" i="5"/>
  <c r="K52" i="5"/>
  <c r="N8" i="5"/>
  <c r="M8" i="5"/>
  <c r="L8" i="5"/>
  <c r="K8" i="5"/>
  <c r="L46" i="5"/>
  <c r="K46" i="5"/>
  <c r="N46" i="5"/>
  <c r="M46" i="5"/>
  <c r="L68" i="5"/>
  <c r="K68" i="5"/>
  <c r="N68" i="5"/>
  <c r="M68" i="5"/>
  <c r="D14" i="4"/>
  <c r="E14" i="4" s="1"/>
  <c r="D27" i="3"/>
  <c r="L70" i="5"/>
  <c r="K70" i="5"/>
  <c r="N70" i="5"/>
  <c r="M70" i="5"/>
  <c r="N12" i="5"/>
  <c r="M12" i="5"/>
  <c r="L12" i="5"/>
  <c r="K12" i="5"/>
  <c r="L40" i="5"/>
  <c r="N40" i="5"/>
  <c r="M40" i="5"/>
  <c r="K40" i="5"/>
  <c r="L38" i="5"/>
  <c r="K38" i="5"/>
  <c r="N38" i="5"/>
  <c r="M38" i="5"/>
  <c r="N69" i="5"/>
  <c r="M69" i="5"/>
  <c r="L69" i="5"/>
  <c r="K69" i="5"/>
  <c r="C15" i="3" l="1"/>
  <c r="E22" i="3"/>
  <c r="C16" i="3"/>
  <c r="D22" i="3"/>
  <c r="D26" i="3"/>
  <c r="C7" i="3"/>
  <c r="E21" i="3"/>
  <c r="E30" i="3" s="1"/>
  <c r="C6" i="3"/>
  <c r="C14" i="3" s="1"/>
  <c r="D21" i="3"/>
  <c r="F29" i="3" l="1"/>
  <c r="F27" i="3"/>
  <c r="F25" i="3"/>
  <c r="F23" i="3"/>
  <c r="F21" i="3"/>
  <c r="F22" i="3"/>
  <c r="F24" i="3"/>
  <c r="F26" i="3"/>
  <c r="F28" i="3"/>
  <c r="C8" i="3"/>
  <c r="D6" i="4"/>
  <c r="E6" i="4" s="1"/>
  <c r="C9" i="3"/>
  <c r="C10" i="3" s="1"/>
  <c r="D30" i="3"/>
  <c r="C12" i="3" l="1"/>
  <c r="C13" i="3"/>
  <c r="D8" i="4" l="1"/>
  <c r="E8" i="4" s="1"/>
  <c r="D15" i="4"/>
  <c r="E15" i="4" s="1"/>
</calcChain>
</file>

<file path=xl/sharedStrings.xml><?xml version="1.0" encoding="utf-8"?>
<sst xmlns="http://schemas.openxmlformats.org/spreadsheetml/2006/main" count="647" uniqueCount="242">
  <si>
    <t>PriceDeskLY</t>
  </si>
  <si>
    <t>Study pricing model - all amounts in INR</t>
  </si>
  <si>
    <t>HOW TO USE</t>
  </si>
  <si>
    <t>- Blue cells are yours to edit. Black cells are formulas - do not overwrite them.</t>
  </si>
  <si>
    <t>- Set the study drivers and commercial levers below, then mark lines with "x" in column A of the Quote sheet.</t>
  </si>
  <si>
    <t>- Margin is applied line by line, then summed. It is a share of the invoice, not a mark-up on cost.</t>
  </si>
  <si>
    <t>- Pass-through and Tech lines bill at cost: no margin, no discount, excluded from revenue.</t>
  </si>
  <si>
    <t>- Summary shows the roll-up. Checks must all read OK before the quote goes out.</t>
  </si>
  <si>
    <t>STUDY DRIVERS</t>
  </si>
  <si>
    <t>Sites</t>
  </si>
  <si>
    <t>Patients enrolled</t>
  </si>
  <si>
    <t>Visits per patient</t>
  </si>
  <si>
    <t>Study duration (months)</t>
  </si>
  <si>
    <t>Monitoring visits per site</t>
  </si>
  <si>
    <t>DERIVED</t>
  </si>
  <si>
    <t>Total patient visits</t>
  </si>
  <si>
    <t>Total monitoring visits</t>
  </si>
  <si>
    <t>Site-months</t>
  </si>
  <si>
    <t>Weeks</t>
  </si>
  <si>
    <t>COMMERCIAL LEVERS</t>
  </si>
  <si>
    <t>Margin on invoice</t>
  </si>
  <si>
    <t>share of the invoice, not a mark-up on cost</t>
  </si>
  <si>
    <t>Margin floor (policy)</t>
  </si>
  <si>
    <t>22.5% minimum on every sale</t>
  </si>
  <si>
    <t>Client discount</t>
  </si>
  <si>
    <t>applies to professional fees only, never to pass-through</t>
  </si>
  <si>
    <t>Margin needed for this discount</t>
  </si>
  <si>
    <t>set Margin on invoice to at least this to hold the floor</t>
  </si>
  <si>
    <t>DRIVER TO QUANTITY</t>
  </si>
  <si>
    <t>the Quote sheet looks quantities up here</t>
  </si>
  <si>
    <t>Driver</t>
  </si>
  <si>
    <t>Quantity</t>
  </si>
  <si>
    <t>Fixed</t>
  </si>
  <si>
    <t>Per site</t>
  </si>
  <si>
    <t>Per visit</t>
  </si>
  <si>
    <t>Per month</t>
  </si>
  <si>
    <t>Per site-month</t>
  </si>
  <si>
    <t>Per week</t>
  </si>
  <si>
    <t>Per monitoring visit</t>
  </si>
  <si>
    <t>Per patient</t>
  </si>
  <si>
    <t>Manual</t>
  </si>
  <si>
    <t>Department</t>
  </si>
  <si>
    <t>Task</t>
  </si>
  <si>
    <t>Kind</t>
  </si>
  <si>
    <t>Delivery hrs</t>
  </si>
  <si>
    <t>Delivery rate</t>
  </si>
  <si>
    <t>Review hrs</t>
  </si>
  <si>
    <t>Review rate</t>
  </si>
  <si>
    <t>Unit cost</t>
  </si>
  <si>
    <t>Rate set?</t>
  </si>
  <si>
    <t>Medical</t>
  </si>
  <si>
    <t>Concept Note Writing</t>
  </si>
  <si>
    <t>Service</t>
  </si>
  <si>
    <t>Literature Review/Search (Can vary based on Scope and extent of data)</t>
  </si>
  <si>
    <t>Protocol Writing -Post Marketing/RWE</t>
  </si>
  <si>
    <t>Protocol Writing -Phase 4</t>
  </si>
  <si>
    <t>ICD (n=1; English)</t>
  </si>
  <si>
    <t>ICD + Ascent (n=1; English)</t>
  </si>
  <si>
    <t>Data variable enlisting for DCF/CRF preparation</t>
  </si>
  <si>
    <t>Site Feasibility Questionnaire (Post Concept Finalization)</t>
  </si>
  <si>
    <t>Feasibility Questionnaire (e.g. Study Feasibility/Survey)</t>
  </si>
  <si>
    <t>Investigator meeting deck</t>
  </si>
  <si>
    <t>Protocol Training Deck</t>
  </si>
  <si>
    <t>SAP - Dummy tables (overlaps with stats)</t>
  </si>
  <si>
    <t>SAR (overlaps with stats) (review, varies as per study depth)</t>
  </si>
  <si>
    <t>Statistical Analysis (Varies based on quantum and variables) (review)</t>
  </si>
  <si>
    <t>Slide Deck (25 slides; Can vary based on Objective; includes RFP deck, interim report etc.)</t>
  </si>
  <si>
    <t>CSR</t>
  </si>
  <si>
    <t>Journal Selection and list development</t>
  </si>
  <si>
    <t>MS writing (Original article for clinical studies)</t>
  </si>
  <si>
    <t>MS writing - Review article (Narrative/SLR) (including literature search and finalization)</t>
  </si>
  <si>
    <t>Abstract for Conference (1st draft for Client's review and approval)</t>
  </si>
  <si>
    <t>Poster in ppt format (1st draft for Client's review and approval)</t>
  </si>
  <si>
    <t>Submission package preparation and journal submission (varies as per journal requirement)</t>
  </si>
  <si>
    <t>Minor Revisions of Submitted Manuscript and Re-submission (Reviewer comments post submission)</t>
  </si>
  <si>
    <t>Major Revisions of Submitted Manuscript and Re-submission (Reviewer comments post submission)</t>
  </si>
  <si>
    <t>Other Activities (Grant writing, RFP documents)</t>
  </si>
  <si>
    <t>SSU</t>
  </si>
  <si>
    <t>Site Identification (per site)</t>
  </si>
  <si>
    <t>Pre-feasibility form development</t>
  </si>
  <si>
    <t>Pre-feasibility</t>
  </si>
  <si>
    <t>Feasibility</t>
  </si>
  <si>
    <t>Feasibility Report</t>
  </si>
  <si>
    <t>Essential document collection</t>
  </si>
  <si>
    <t>PSQV - preparation</t>
  </si>
  <si>
    <t>PSQV - visit &amp; report</t>
  </si>
  <si>
    <t>PSQV - local travel</t>
  </si>
  <si>
    <t>PSQV - Out-station travel</t>
  </si>
  <si>
    <t>CSA/MoU development</t>
  </si>
  <si>
    <t>CSA/MoU negotiation</t>
  </si>
  <si>
    <t>EC Dossier preparation</t>
  </si>
  <si>
    <t>EC Dossier online submission</t>
  </si>
  <si>
    <t>EC Dossier offline submission</t>
  </si>
  <si>
    <t>EC Communication</t>
  </si>
  <si>
    <t>Finance &amp; Admin - A/C setup</t>
  </si>
  <si>
    <t>SIV Dossier Printing &amp; Dispatch</t>
  </si>
  <si>
    <t>Site Handover</t>
  </si>
  <si>
    <t>TMF Support</t>
  </si>
  <si>
    <t>ISF Support</t>
  </si>
  <si>
    <t>eISF support</t>
  </si>
  <si>
    <t>DM</t>
  </si>
  <si>
    <t>Protocol Training</t>
  </si>
  <si>
    <t>DMP development and finalization</t>
  </si>
  <si>
    <t>CRF Development (upto 50 pages)</t>
  </si>
  <si>
    <t>CRF Finalization</t>
  </si>
  <si>
    <t>DCF development (on paper CRF)</t>
  </si>
  <si>
    <t>DCF development (no paper CRF)</t>
  </si>
  <si>
    <t>EDC finalization</t>
  </si>
  <si>
    <t>EDC UAT- Demo</t>
  </si>
  <si>
    <t>EDC UAT- Production</t>
  </si>
  <si>
    <t>Data Digitization</t>
  </si>
  <si>
    <t>Trackers update</t>
  </si>
  <si>
    <t>EDC completion guidelines</t>
  </si>
  <si>
    <t>Patient Diary (if required)</t>
  </si>
  <si>
    <t>Patient dairy completion guidelines</t>
  </si>
  <si>
    <t>Data QC (per visit) [Prospective]</t>
  </si>
  <si>
    <t>Query generation (per visit) [Prospective]</t>
  </si>
  <si>
    <t>Query resolution (per visit) [Prospective]</t>
  </si>
  <si>
    <t>Final data harmonization [Prospective]</t>
  </si>
  <si>
    <t>Data QC (per visit) [Retrospective]</t>
  </si>
  <si>
    <t>Query generation (per visit) [Retrospective]</t>
  </si>
  <si>
    <t>Query resolution (per visit) [Retrospective]</t>
  </si>
  <si>
    <t>Final data harmonization [Retrospective]</t>
  </si>
  <si>
    <t>PM</t>
  </si>
  <si>
    <t>Project Plan Development</t>
  </si>
  <si>
    <t>PMP Development</t>
  </si>
  <si>
    <t>Study Plans</t>
  </si>
  <si>
    <t>KO preparation &amp; meeting</t>
  </si>
  <si>
    <t>TMF Management (per site)</t>
  </si>
  <si>
    <t>Liasioning with Interdepartments on Client Review and Finalization, Data Analysis, Report Finalization, Tech Team Guidance on CRF Deployment, Quality Management and Compliance</t>
  </si>
  <si>
    <t>Study Progress Calls (Daily Progress Update and Tracking, PPT, MoM and Internal Update Calls) per site per month</t>
  </si>
  <si>
    <t>Client calls weekly</t>
  </si>
  <si>
    <t>Vendor Management</t>
  </si>
  <si>
    <t>Project Close-out</t>
  </si>
  <si>
    <t>SM</t>
  </si>
  <si>
    <t>Daily follow-up</t>
  </si>
  <si>
    <t>Documentation</t>
  </si>
  <si>
    <t>EDC verification</t>
  </si>
  <si>
    <t>Query resolutions</t>
  </si>
  <si>
    <t>Site re-training</t>
  </si>
  <si>
    <t>SIV preparation</t>
  </si>
  <si>
    <t>SIV</t>
  </si>
  <si>
    <t>SMV preparation</t>
  </si>
  <si>
    <t>SMV</t>
  </si>
  <si>
    <t>SCV Preparation</t>
  </si>
  <si>
    <t>SCV</t>
  </si>
  <si>
    <t>Local travel for visits</t>
  </si>
  <si>
    <t>Out-station travel for visits</t>
  </si>
  <si>
    <t>EC</t>
  </si>
  <si>
    <t>Registration</t>
  </si>
  <si>
    <t>CTRI submission</t>
  </si>
  <si>
    <t>CTRI query resolution</t>
  </si>
  <si>
    <t>Client Communications</t>
  </si>
  <si>
    <t>Coordination with PM</t>
  </si>
  <si>
    <t>CTRI Updates</t>
  </si>
  <si>
    <t>Regulatory updates</t>
  </si>
  <si>
    <t>BioStats</t>
  </si>
  <si>
    <t>SAP - Dummy tables</t>
  </si>
  <si>
    <t>SAR</t>
  </si>
  <si>
    <t>Analysis</t>
  </si>
  <si>
    <t>Medical writing Liasion</t>
  </si>
  <si>
    <t>PTC</t>
  </si>
  <si>
    <t>ICD Translation &amp; back translations</t>
  </si>
  <si>
    <t>Pass-through</t>
  </si>
  <si>
    <t>Ethics Committee Fee - Institutional</t>
  </si>
  <si>
    <t>Ethics Committee Fee - Central</t>
  </si>
  <si>
    <t>Travel - Local</t>
  </si>
  <si>
    <t>Travel - Out of Station</t>
  </si>
  <si>
    <t>Boarding &amp; lodging</t>
  </si>
  <si>
    <t>Printing &amp; Courier</t>
  </si>
  <si>
    <t>External CRC</t>
  </si>
  <si>
    <t>External Data entry operator</t>
  </si>
  <si>
    <t>Journal Fee</t>
  </si>
  <si>
    <t>PI Fee / Data record Fee (per patient)</t>
  </si>
  <si>
    <t>Data entry Fee (per patient)</t>
  </si>
  <si>
    <t>Institutional Overhead</t>
  </si>
  <si>
    <t>Tech</t>
  </si>
  <si>
    <t>EDC Monthly License Fee</t>
  </si>
  <si>
    <t>MEDDRA License Fee</t>
  </si>
  <si>
    <t>QoL/PRO License Fee</t>
  </si>
  <si>
    <t>eTMF monthly license Fee</t>
  </si>
  <si>
    <t>eISF monthly license Fee</t>
  </si>
  <si>
    <t>Delivery rate = department hourly cost. Review rate = INR 3,000/hr senior review.</t>
  </si>
  <si>
    <t>Source: client rate card supplied 20 Aug 2026. Blank hours mean the rate was never set - fill them in.</t>
  </si>
  <si>
    <t>Quote summary</t>
  </si>
  <si>
    <t>Every figure below is a roll-up of the Quote sheet. Nothing is typed here.</t>
  </si>
  <si>
    <t>Lines included</t>
  </si>
  <si>
    <t>Total fixed fee (cost)</t>
  </si>
  <si>
    <t>sum of Line cost on service lines</t>
  </si>
  <si>
    <t>Sum of line prices</t>
  </si>
  <si>
    <t>sum of Line price - margin already inside each line</t>
  </si>
  <si>
    <t>Margin (rupees)</t>
  </si>
  <si>
    <t>the difference, not a separate uplift</t>
  </si>
  <si>
    <t>Discount</t>
  </si>
  <si>
    <t>professional fees only</t>
  </si>
  <si>
    <t>Net revenue</t>
  </si>
  <si>
    <t>what you actually earn</t>
  </si>
  <si>
    <t>Pass-through at cost</t>
  </si>
  <si>
    <t>no margin, no discount, not revenue</t>
  </si>
  <si>
    <t>Client price</t>
  </si>
  <si>
    <t>total invoice</t>
  </si>
  <si>
    <t>Margin on revenue</t>
  </si>
  <si>
    <t>must be at or above the floor</t>
  </si>
  <si>
    <t>Uplift on cost</t>
  </si>
  <si>
    <t>what 22.5% margin looks like as a mark-up</t>
  </si>
  <si>
    <t>Delivery hours</t>
  </si>
  <si>
    <t>Review hours</t>
  </si>
  <si>
    <t>BY DEPARTMENT</t>
  </si>
  <si>
    <t>Lines</t>
  </si>
  <si>
    <t>Cost</t>
  </si>
  <si>
    <t>Price</t>
  </si>
  <si>
    <t>Share of price</t>
  </si>
  <si>
    <t>Total</t>
  </si>
  <si>
    <t>Model checks</t>
  </si>
  <si>
    <t>All must read OK before this quote leaves the building.</t>
  </si>
  <si>
    <t>#</t>
  </si>
  <si>
    <t>Check</t>
  </si>
  <si>
    <t>Result</t>
  </si>
  <si>
    <t>Status</t>
  </si>
  <si>
    <t>Line prices roll up to the quoted fees</t>
  </si>
  <si>
    <t>Qty x Unit price = Line price on every row</t>
  </si>
  <si>
    <t>Realised margin at or above the floor</t>
  </si>
  <si>
    <t>Margin lever at or above the floor</t>
  </si>
  <si>
    <t>Included lines with no rate set</t>
  </si>
  <si>
    <t>Included lines resolving to zero quantity</t>
  </si>
  <si>
    <t>Line margin overrides below the floor</t>
  </si>
  <si>
    <t>Pass-through lines carrying margin</t>
  </si>
  <si>
    <t>Lines where margin differs from the lever</t>
  </si>
  <si>
    <t>Discount leaves margin under the floor</t>
  </si>
  <si>
    <t>Checks 6 and 9 read REVIEW rather than FAIL: both can be legitimate, but must be deliberate.</t>
  </si>
  <si>
    <t>Contingency is deliberately absent from this model. It plays no part in the calculation.</t>
  </si>
  <si>
    <t>In</t>
  </si>
  <si>
    <t>Activity</t>
  </si>
  <si>
    <t>Qty</t>
  </si>
  <si>
    <t>Margin override</t>
  </si>
  <si>
    <t>Margin applied</t>
  </si>
  <si>
    <t>Unit price</t>
  </si>
  <si>
    <t>Line price</t>
  </si>
  <si>
    <t>Line cost</t>
  </si>
  <si>
    <t>x</t>
  </si>
  <si>
    <t>Mark a line with "x" in column A to include it. Margin override is optional - leave blank to use the lever on Inputs.</t>
  </si>
  <si>
    <t>Unit price = unit cost / (1 - margin), rounded to whole rupees, so Qty x Unit price equals Line price exactly.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</si>
</sst>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##"/>
    <numFmt numFmtId="166" formatCode="[&gt;=10000000]#\,##\,##\,##0;[&gt;=100000]#\,##\,##0;#,##0"/>
  </numFmts>
  <fonts count="9" x14ac:knownFonts="1">
    <font>
      <sz val="11"/>
      <color theme="1"/>
      <name val="Calibri"/>
      <family val="2"/>
      <scheme val="minor"/>
    </font>
    <font>
      <b/>
      <sz val="14"/>
      <color rgb="FF0B4F49"/>
      <name val="Arial"/>
      <family val="2"/>
    </font>
    <font>
      <i/>
      <sz val="8"/>
      <color rgb="FF60606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sz val="10"/>
      <color rgb="FF008000"/>
      <name val="Arial"/>
      <family val="2"/>
    </font>
    <font>
      <b/>
      <sz val="13"/>
      <color rgb="FF0B4F4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B4F49"/>
      </patternFill>
    </fill>
    <fill>
      <patternFill patternType="solid">
        <fgColor rgb="FFEEF3F2"/>
      </patternFill>
    </fill>
  </fills>
  <borders count="2">
    <border>
      <left/>
      <right/>
      <top/>
      <bottom/>
      <diagonal/>
    </border>
    <border>
      <left style="thin">
        <color rgb="FFC8D4D2"/>
      </left>
      <right style="thin">
        <color rgb="FFC8D4D2"/>
      </right>
      <top style="thin">
        <color rgb="FFC8D4D2"/>
      </top>
      <bottom style="thin">
        <color rgb="FFC8D4D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2" borderId="1" xfId="0" applyNumberFormat="1" applyFont="1" applyFill="1" applyBorder="1"/>
    <xf numFmtId="3" fontId="4" fillId="0" borderId="1" xfId="0" applyNumberFormat="1" applyFont="1" applyBorder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0" fontId="6" fillId="3" borderId="0" xfId="0" applyFont="1" applyFill="1"/>
    <xf numFmtId="0" fontId="4" fillId="0" borderId="1" xfId="0" applyFont="1" applyBorder="1"/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right" wrapText="1"/>
    </xf>
    <xf numFmtId="165" fontId="5" fillId="0" borderId="0" xfId="0" applyNumberFormat="1" applyFont="1"/>
    <xf numFmtId="166" fontId="5" fillId="0" borderId="0" xfId="0" applyNumberFormat="1" applyFont="1"/>
    <xf numFmtId="166" fontId="4" fillId="0" borderId="0" xfId="0" applyNumberFormat="1" applyFont="1"/>
    <xf numFmtId="0" fontId="4" fillId="4" borderId="0" xfId="0" applyFont="1" applyFill="1"/>
    <xf numFmtId="165" fontId="5" fillId="4" borderId="0" xfId="0" applyNumberFormat="1" applyFont="1" applyFill="1"/>
    <xf numFmtId="166" fontId="5" fillId="4" borderId="0" xfId="0" applyNumberFormat="1" applyFont="1" applyFill="1"/>
    <xf numFmtId="166" fontId="4" fillId="4" borderId="0" xfId="0" applyNumberFormat="1" applyFont="1" applyFill="1"/>
    <xf numFmtId="0" fontId="0" fillId="4" borderId="0" xfId="0" applyFill="1"/>
    <xf numFmtId="0" fontId="6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7" fillId="0" borderId="0" xfId="0" applyFont="1"/>
    <xf numFmtId="165" fontId="4" fillId="0" borderId="0" xfId="0" applyNumberFormat="1" applyFont="1"/>
    <xf numFmtId="166" fontId="7" fillId="0" borderId="0" xfId="0" applyNumberFormat="1" applyFont="1"/>
    <xf numFmtId="164" fontId="4" fillId="0" borderId="0" xfId="0" applyNumberFormat="1" applyFont="1"/>
    <xf numFmtId="0" fontId="7" fillId="4" borderId="0" xfId="0" applyFont="1" applyFill="1"/>
    <xf numFmtId="165" fontId="4" fillId="4" borderId="0" xfId="0" applyNumberFormat="1" applyFont="1" applyFill="1"/>
    <xf numFmtId="166" fontId="7" fillId="4" borderId="0" xfId="0" applyNumberFormat="1" applyFont="1" applyFill="1"/>
    <xf numFmtId="164" fontId="4" fillId="4" borderId="0" xfId="0" applyNumberFormat="1" applyFont="1" applyFill="1"/>
    <xf numFmtId="166" fontId="4" fillId="0" borderId="1" xfId="0" applyNumberFormat="1" applyFont="1" applyBorder="1"/>
    <xf numFmtId="166" fontId="8" fillId="0" borderId="1" xfId="0" applyNumberFormat="1" applyFont="1" applyBorder="1"/>
    <xf numFmtId="164" fontId="8" fillId="0" borderId="1" xfId="0" applyNumberFormat="1" applyFont="1" applyBorder="1"/>
    <xf numFmtId="0" fontId="6" fillId="3" borderId="1" xfId="0" applyFont="1" applyFill="1" applyBorder="1"/>
    <xf numFmtId="3" fontId="3" fillId="0" borderId="0" xfId="0" applyNumberFormat="1" applyFont="1"/>
    <xf numFmtId="166" fontId="3" fillId="0" borderId="0" xfId="0" applyNumberFormat="1" applyFont="1"/>
    <xf numFmtId="4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3" fontId="4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/>
  </cellXfs>
  <cellStyles count="1">
    <cellStyle name="Normal" xfId="0" builtinId="0"/>
  </cellStyles>
  <dxfs count="7">
    <dxf>
      <font>
        <b/>
        <sz val="10"/>
        <color rgb="FFB3261E"/>
        <name val="Arial"/>
      </font>
      <fill>
        <patternFill patternType="solid">
          <fgColor rgb="FFFCECE9"/>
        </patternFill>
      </fill>
    </dxf>
    <dxf>
      <font>
        <b/>
        <sz val="10"/>
        <color rgb="FFB3261E"/>
        <name val="Arial"/>
      </font>
      <fill>
        <patternFill patternType="solid">
          <fgColor rgb="FFFCECE9"/>
        </patternFill>
      </fill>
    </dxf>
    <dxf>
      <fill>
        <patternFill patternType="solid">
          <fgColor rgb="FFE3F0ED"/>
        </patternFill>
      </fill>
    </dxf>
    <dxf>
      <font>
        <b/>
        <sz val="10"/>
        <color rgb="FFB4690E"/>
        <name val="Arial"/>
      </font>
      <fill>
        <patternFill patternType="solid">
          <fgColor rgb="FFFDF3E3"/>
        </patternFill>
      </fill>
    </dxf>
    <dxf>
      <font>
        <b/>
        <sz val="10"/>
        <color rgb="FFB3261E"/>
        <name val="Arial"/>
      </font>
      <fill>
        <patternFill patternType="solid">
          <fgColor rgb="FFFCECE9"/>
        </patternFill>
      </fill>
    </dxf>
    <dxf>
      <font>
        <b/>
        <sz val="10"/>
        <color rgb="FF1B7F4B"/>
        <name val="Arial"/>
      </font>
      <fill>
        <patternFill patternType="solid">
          <fgColor rgb="FFE8F4ED"/>
        </patternFill>
      </fill>
    </dxf>
    <dxf>
      <font>
        <b/>
        <sz val="10"/>
        <color rgb="FFB3261E"/>
        <name val="Arial"/>
      </font>
      <fill>
        <patternFill patternType="solid">
          <fgColor rgb="FFFCEC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Cost by department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Summary!$D$20</c:f>
              <c:strCache>
                <c:ptCount val="1"/>
                <c:pt idx="0">
                  <c:v>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Summary!$B$21:$B$29</c:f>
              <c:strCache>
                <c:ptCount val="9"/>
                <c:pt idx="0">
                  <c:v>Medical</c:v>
                </c:pt>
                <c:pt idx="1">
                  <c:v>SSU</c:v>
                </c:pt>
                <c:pt idx="2">
                  <c:v>DM</c:v>
                </c:pt>
                <c:pt idx="3">
                  <c:v>PM</c:v>
                </c:pt>
                <c:pt idx="4">
                  <c:v>SM</c:v>
                </c:pt>
                <c:pt idx="5">
                  <c:v>EC</c:v>
                </c:pt>
                <c:pt idx="6">
                  <c:v>BioStats</c:v>
                </c:pt>
                <c:pt idx="7">
                  <c:v>PTC</c:v>
                </c:pt>
                <c:pt idx="8">
                  <c:v>Tech</c:v>
                </c:pt>
              </c:strCache>
            </c:strRef>
          </c:cat>
          <c:val>
            <c:numRef>
              <c:f>Summary!$D$21:$D$29</c:f>
              <c:numCache>
                <c:formatCode>[&gt;=10000000]#\,##\,##\,##0;[&gt;=100000]#\,##\,##0;#,##0</c:formatCode>
                <c:ptCount val="9"/>
                <c:pt idx="0">
                  <c:v>360625</c:v>
                </c:pt>
                <c:pt idx="1">
                  <c:v>133300</c:v>
                </c:pt>
                <c:pt idx="2">
                  <c:v>2794025</c:v>
                </c:pt>
                <c:pt idx="3">
                  <c:v>494400</c:v>
                </c:pt>
                <c:pt idx="4">
                  <c:v>0</c:v>
                </c:pt>
                <c:pt idx="5">
                  <c:v>24000</c:v>
                </c:pt>
                <c:pt idx="6">
                  <c:v>0</c:v>
                </c:pt>
                <c:pt idx="7">
                  <c:v>100000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1-5148-BE30-3DD932574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[&gt;=10000000]#\,##\,##\,##0;[&gt;=100000]#\,##\,##0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2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32" customWidth="1"/>
    <col min="3" max="3" width="14" customWidth="1"/>
    <col min="4" max="4" width="52" customWidth="1"/>
  </cols>
  <sheetData>
    <row r="2" spans="2:3" ht="18" x14ac:dyDescent="0.2">
      <c r="B2" s="1" t="s">
        <v>0</v>
      </c>
    </row>
    <row r="3" spans="2:3" x14ac:dyDescent="0.2">
      <c r="B3" s="2" t="s">
        <v>1</v>
      </c>
    </row>
    <row r="5" spans="2:3" x14ac:dyDescent="0.2">
      <c r="B5" s="3" t="s">
        <v>2</v>
      </c>
    </row>
    <row r="6" spans="2:3" x14ac:dyDescent="0.2">
      <c r="B6" s="2" t="s">
        <v>3</v>
      </c>
    </row>
    <row r="7" spans="2:3" x14ac:dyDescent="0.2">
      <c r="B7" s="2" t="s">
        <v>4</v>
      </c>
    </row>
    <row r="8" spans="2:3" x14ac:dyDescent="0.2">
      <c r="B8" s="2" t="s">
        <v>5</v>
      </c>
    </row>
    <row r="9" spans="2:3" x14ac:dyDescent="0.2">
      <c r="B9" s="2" t="s">
        <v>6</v>
      </c>
    </row>
    <row r="10" spans="2:3" x14ac:dyDescent="0.2">
      <c r="B10" s="2" t="s">
        <v>7</v>
      </c>
    </row>
    <row r="12" spans="2:3" x14ac:dyDescent="0.2">
      <c r="B12" s="3" t="s">
        <v>8</v>
      </c>
    </row>
    <row r="13" spans="2:3" x14ac:dyDescent="0.2">
      <c r="B13" s="4" t="s">
        <v>9</v>
      </c>
      <c r="C13" s="5">
        <v>5</v>
      </c>
    </row>
    <row r="14" spans="2:3" x14ac:dyDescent="0.2">
      <c r="B14" s="4" t="s">
        <v>10</v>
      </c>
      <c r="C14" s="5">
        <v>250</v>
      </c>
    </row>
    <row r="15" spans="2:3" x14ac:dyDescent="0.2">
      <c r="B15" s="4" t="s">
        <v>11</v>
      </c>
      <c r="C15" s="5">
        <v>3</v>
      </c>
    </row>
    <row r="16" spans="2:3" x14ac:dyDescent="0.2">
      <c r="B16" s="4" t="s">
        <v>12</v>
      </c>
      <c r="C16" s="5">
        <v>12</v>
      </c>
    </row>
    <row r="17" spans="2:4" x14ac:dyDescent="0.2">
      <c r="B17" s="4" t="s">
        <v>13</v>
      </c>
      <c r="C17" s="5">
        <v>4</v>
      </c>
    </row>
    <row r="19" spans="2:4" x14ac:dyDescent="0.2">
      <c r="B19" s="3" t="s">
        <v>14</v>
      </c>
    </row>
    <row r="20" spans="2:4" x14ac:dyDescent="0.2">
      <c r="B20" s="4" t="s">
        <v>15</v>
      </c>
      <c r="C20" s="6">
        <f>Patients*VisitsPerPatient</f>
        <v>750</v>
      </c>
    </row>
    <row r="21" spans="2:4" x14ac:dyDescent="0.2">
      <c r="B21" s="4" t="s">
        <v>16</v>
      </c>
      <c r="C21" s="6">
        <f>Sites*MonVisitsPerSite</f>
        <v>20</v>
      </c>
    </row>
    <row r="22" spans="2:4" x14ac:dyDescent="0.2">
      <c r="B22" s="4" t="s">
        <v>17</v>
      </c>
      <c r="C22" s="6">
        <f>Sites*Months</f>
        <v>60</v>
      </c>
    </row>
    <row r="23" spans="2:4" x14ac:dyDescent="0.2">
      <c r="B23" s="4" t="s">
        <v>18</v>
      </c>
      <c r="C23" s="6">
        <f>ROUND(Months*4.345,0)</f>
        <v>52</v>
      </c>
    </row>
    <row r="25" spans="2:4" x14ac:dyDescent="0.2">
      <c r="B25" s="3" t="s">
        <v>19</v>
      </c>
    </row>
    <row r="26" spans="2:4" x14ac:dyDescent="0.2">
      <c r="B26" s="4" t="s">
        <v>20</v>
      </c>
      <c r="C26" s="7">
        <v>0.22500000000000001</v>
      </c>
      <c r="D26" s="2" t="s">
        <v>21</v>
      </c>
    </row>
    <row r="27" spans="2:4" x14ac:dyDescent="0.2">
      <c r="B27" s="4" t="s">
        <v>22</v>
      </c>
      <c r="C27" s="8">
        <v>0.22500000000000001</v>
      </c>
      <c r="D27" s="2" t="s">
        <v>23</v>
      </c>
    </row>
    <row r="28" spans="2:4" x14ac:dyDescent="0.2">
      <c r="B28" s="4" t="s">
        <v>24</v>
      </c>
      <c r="C28" s="7">
        <v>0</v>
      </c>
      <c r="D28" s="2" t="s">
        <v>25</v>
      </c>
    </row>
    <row r="29" spans="2:4" x14ac:dyDescent="0.2">
      <c r="B29" s="4" t="s">
        <v>26</v>
      </c>
      <c r="C29" s="9">
        <f>1-(1-MarginFloor)*(1-Discount)</f>
        <v>0.22499999999999998</v>
      </c>
      <c r="D29" s="2" t="s">
        <v>27</v>
      </c>
    </row>
    <row r="32" spans="2:4" x14ac:dyDescent="0.2">
      <c r="B32" s="3" t="s">
        <v>28</v>
      </c>
      <c r="D32" s="2" t="s">
        <v>29</v>
      </c>
    </row>
    <row r="33" spans="2:3" x14ac:dyDescent="0.2">
      <c r="B33" s="10" t="s">
        <v>30</v>
      </c>
      <c r="C33" s="10" t="s">
        <v>31</v>
      </c>
    </row>
    <row r="34" spans="2:3" x14ac:dyDescent="0.2">
      <c r="B34" s="11" t="s">
        <v>32</v>
      </c>
      <c r="C34" s="6">
        <f>1</f>
        <v>1</v>
      </c>
    </row>
    <row r="35" spans="2:3" x14ac:dyDescent="0.2">
      <c r="B35" s="11" t="s">
        <v>33</v>
      </c>
      <c r="C35" s="6">
        <f>Sites</f>
        <v>5</v>
      </c>
    </row>
    <row r="36" spans="2:3" x14ac:dyDescent="0.2">
      <c r="B36" s="11" t="s">
        <v>34</v>
      </c>
      <c r="C36" s="6">
        <f>TotalVisits</f>
        <v>750</v>
      </c>
    </row>
    <row r="37" spans="2:3" x14ac:dyDescent="0.2">
      <c r="B37" s="11" t="s">
        <v>35</v>
      </c>
      <c r="C37" s="6">
        <f>Months</f>
        <v>12</v>
      </c>
    </row>
    <row r="38" spans="2:3" x14ac:dyDescent="0.2">
      <c r="B38" s="11" t="s">
        <v>36</v>
      </c>
      <c r="C38" s="6">
        <f>SiteMonths</f>
        <v>60</v>
      </c>
    </row>
    <row r="39" spans="2:3" x14ac:dyDescent="0.2">
      <c r="B39" s="11" t="s">
        <v>37</v>
      </c>
      <c r="C39" s="6">
        <f>Weeks</f>
        <v>52</v>
      </c>
    </row>
    <row r="40" spans="2:3" x14ac:dyDescent="0.2">
      <c r="B40" s="11" t="s">
        <v>38</v>
      </c>
      <c r="C40" s="6">
        <f>MonVisits</f>
        <v>20</v>
      </c>
    </row>
    <row r="41" spans="2:3" x14ac:dyDescent="0.2">
      <c r="B41" s="11" t="s">
        <v>39</v>
      </c>
      <c r="C41" s="6">
        <f>Patients</f>
        <v>250</v>
      </c>
    </row>
    <row r="42" spans="2:3" x14ac:dyDescent="0.2">
      <c r="B42" s="11" t="s">
        <v>40</v>
      </c>
      <c r="C42" s="6">
        <f>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62" customWidth="1"/>
    <col min="3" max="3" width="13" customWidth="1"/>
    <col min="4" max="4" width="20" customWidth="1"/>
    <col min="5" max="5" width="12" customWidth="1"/>
    <col min="6" max="6" width="13" customWidth="1"/>
    <col min="7" max="8" width="12" customWidth="1"/>
    <col min="9" max="9" width="14" customWidth="1"/>
    <col min="10" max="10" width="13" customWidth="1"/>
  </cols>
  <sheetData>
    <row r="1" spans="1:10" x14ac:dyDescent="0.2">
      <c r="A1" s="12" t="s">
        <v>41</v>
      </c>
      <c r="B1" s="12" t="s">
        <v>42</v>
      </c>
      <c r="C1" s="12" t="s">
        <v>43</v>
      </c>
      <c r="D1" s="12" t="s">
        <v>30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48</v>
      </c>
      <c r="J1" s="13" t="s">
        <v>49</v>
      </c>
    </row>
    <row r="2" spans="1:10" x14ac:dyDescent="0.2">
      <c r="A2" s="4" t="s">
        <v>50</v>
      </c>
      <c r="B2" s="4" t="s">
        <v>51</v>
      </c>
      <c r="C2" s="4" t="s">
        <v>52</v>
      </c>
      <c r="D2" s="4" t="s">
        <v>32</v>
      </c>
      <c r="E2" s="14">
        <v>16</v>
      </c>
      <c r="F2" s="15">
        <v>950</v>
      </c>
      <c r="G2" s="14">
        <v>5</v>
      </c>
      <c r="H2" s="15">
        <v>3000</v>
      </c>
      <c r="I2" s="16">
        <f t="shared" ref="I2:I33" si="0">IFERROR(N(E2)*N(F2)+N(G2)*N(H2),0)</f>
        <v>30200</v>
      </c>
      <c r="J2" s="4" t="str">
        <f t="shared" ref="J2:J33" si="1">IF(N(I2)&gt;0,"OK","RATE NOT SET")</f>
        <v>OK</v>
      </c>
    </row>
    <row r="3" spans="1:10" x14ac:dyDescent="0.2">
      <c r="A3" s="17" t="s">
        <v>50</v>
      </c>
      <c r="B3" s="17" t="s">
        <v>53</v>
      </c>
      <c r="C3" s="17" t="s">
        <v>52</v>
      </c>
      <c r="D3" s="17" t="s">
        <v>32</v>
      </c>
      <c r="E3" s="18">
        <v>24</v>
      </c>
      <c r="F3" s="19">
        <v>950</v>
      </c>
      <c r="G3" s="18">
        <v>4</v>
      </c>
      <c r="H3" s="19">
        <v>3000</v>
      </c>
      <c r="I3" s="20">
        <f t="shared" si="0"/>
        <v>34800</v>
      </c>
      <c r="J3" s="17" t="str">
        <f t="shared" si="1"/>
        <v>OK</v>
      </c>
    </row>
    <row r="4" spans="1:10" x14ac:dyDescent="0.2">
      <c r="A4" s="4" t="s">
        <v>50</v>
      </c>
      <c r="B4" s="4" t="s">
        <v>54</v>
      </c>
      <c r="C4" s="4" t="s">
        <v>52</v>
      </c>
      <c r="D4" s="4" t="s">
        <v>32</v>
      </c>
      <c r="E4" s="14">
        <v>70</v>
      </c>
      <c r="F4" s="15">
        <v>950</v>
      </c>
      <c r="G4" s="14">
        <v>18</v>
      </c>
      <c r="H4" s="15">
        <v>3000</v>
      </c>
      <c r="I4" s="16">
        <f t="shared" si="0"/>
        <v>120500</v>
      </c>
      <c r="J4" s="4" t="str">
        <f t="shared" si="1"/>
        <v>OK</v>
      </c>
    </row>
    <row r="5" spans="1:10" x14ac:dyDescent="0.2">
      <c r="A5" s="17" t="s">
        <v>50</v>
      </c>
      <c r="B5" s="17" t="s">
        <v>55</v>
      </c>
      <c r="C5" s="17" t="s">
        <v>52</v>
      </c>
      <c r="D5" s="17" t="s">
        <v>32</v>
      </c>
      <c r="E5" s="18">
        <v>70</v>
      </c>
      <c r="F5" s="19">
        <v>950</v>
      </c>
      <c r="G5" s="18">
        <v>18</v>
      </c>
      <c r="H5" s="19">
        <v>3000</v>
      </c>
      <c r="I5" s="20">
        <f t="shared" si="0"/>
        <v>120500</v>
      </c>
      <c r="J5" s="17" t="str">
        <f t="shared" si="1"/>
        <v>OK</v>
      </c>
    </row>
    <row r="6" spans="1:10" x14ac:dyDescent="0.2">
      <c r="A6" s="4" t="s">
        <v>50</v>
      </c>
      <c r="B6" s="4" t="s">
        <v>56</v>
      </c>
      <c r="C6" s="4" t="s">
        <v>52</v>
      </c>
      <c r="D6" s="4" t="s">
        <v>32</v>
      </c>
      <c r="E6" s="14">
        <v>18</v>
      </c>
      <c r="F6" s="15">
        <v>950</v>
      </c>
      <c r="G6" s="14">
        <v>4</v>
      </c>
      <c r="H6" s="15">
        <v>3000</v>
      </c>
      <c r="I6" s="16">
        <f t="shared" si="0"/>
        <v>29100</v>
      </c>
      <c r="J6" s="4" t="str">
        <f t="shared" si="1"/>
        <v>OK</v>
      </c>
    </row>
    <row r="7" spans="1:10" x14ac:dyDescent="0.2">
      <c r="A7" s="17" t="s">
        <v>50</v>
      </c>
      <c r="B7" s="17" t="s">
        <v>57</v>
      </c>
      <c r="C7" s="17" t="s">
        <v>52</v>
      </c>
      <c r="D7" s="17" t="s">
        <v>32</v>
      </c>
      <c r="E7" s="18">
        <v>19</v>
      </c>
      <c r="F7" s="19">
        <v>950</v>
      </c>
      <c r="G7" s="18">
        <v>4.25</v>
      </c>
      <c r="H7" s="19">
        <v>3000</v>
      </c>
      <c r="I7" s="20">
        <f t="shared" si="0"/>
        <v>30800</v>
      </c>
      <c r="J7" s="17" t="str">
        <f t="shared" si="1"/>
        <v>OK</v>
      </c>
    </row>
    <row r="8" spans="1:10" x14ac:dyDescent="0.2">
      <c r="A8" s="4" t="s">
        <v>50</v>
      </c>
      <c r="B8" s="4" t="s">
        <v>58</v>
      </c>
      <c r="C8" s="4" t="s">
        <v>52</v>
      </c>
      <c r="D8" s="4" t="s">
        <v>32</v>
      </c>
      <c r="E8" s="14">
        <v>6</v>
      </c>
      <c r="F8" s="15">
        <v>950</v>
      </c>
      <c r="G8" s="14">
        <v>1</v>
      </c>
      <c r="H8" s="15">
        <v>3000</v>
      </c>
      <c r="I8" s="16">
        <f t="shared" si="0"/>
        <v>8700</v>
      </c>
      <c r="J8" s="4" t="str">
        <f t="shared" si="1"/>
        <v>OK</v>
      </c>
    </row>
    <row r="9" spans="1:10" x14ac:dyDescent="0.2">
      <c r="A9" s="17" t="s">
        <v>50</v>
      </c>
      <c r="B9" s="17" t="s">
        <v>59</v>
      </c>
      <c r="C9" s="17" t="s">
        <v>52</v>
      </c>
      <c r="D9" s="17" t="s">
        <v>32</v>
      </c>
      <c r="E9" s="18">
        <v>3.5</v>
      </c>
      <c r="F9" s="19">
        <v>950</v>
      </c>
      <c r="G9" s="18">
        <v>1</v>
      </c>
      <c r="H9" s="19">
        <v>3000</v>
      </c>
      <c r="I9" s="20">
        <f t="shared" si="0"/>
        <v>6325</v>
      </c>
      <c r="J9" s="17" t="str">
        <f t="shared" si="1"/>
        <v>OK</v>
      </c>
    </row>
    <row r="10" spans="1:10" x14ac:dyDescent="0.2">
      <c r="A10" s="4" t="s">
        <v>50</v>
      </c>
      <c r="B10" s="4" t="s">
        <v>60</v>
      </c>
      <c r="C10" s="4" t="s">
        <v>52</v>
      </c>
      <c r="D10" s="4" t="s">
        <v>32</v>
      </c>
      <c r="E10" s="14">
        <v>3.5</v>
      </c>
      <c r="F10" s="15">
        <v>950</v>
      </c>
      <c r="G10" s="14">
        <v>2</v>
      </c>
      <c r="H10" s="15">
        <v>3000</v>
      </c>
      <c r="I10" s="16">
        <f t="shared" si="0"/>
        <v>9325</v>
      </c>
      <c r="J10" s="4" t="str">
        <f t="shared" si="1"/>
        <v>OK</v>
      </c>
    </row>
    <row r="11" spans="1:10" x14ac:dyDescent="0.2">
      <c r="A11" s="17" t="s">
        <v>50</v>
      </c>
      <c r="B11" s="17" t="s">
        <v>61</v>
      </c>
      <c r="C11" s="17" t="s">
        <v>52</v>
      </c>
      <c r="D11" s="17" t="s">
        <v>32</v>
      </c>
      <c r="E11" s="18">
        <v>7</v>
      </c>
      <c r="F11" s="19">
        <v>950</v>
      </c>
      <c r="G11" s="18">
        <v>4</v>
      </c>
      <c r="H11" s="19">
        <v>3000</v>
      </c>
      <c r="I11" s="20">
        <f t="shared" si="0"/>
        <v>18650</v>
      </c>
      <c r="J11" s="17" t="str">
        <f t="shared" si="1"/>
        <v>OK</v>
      </c>
    </row>
    <row r="12" spans="1:10" x14ac:dyDescent="0.2">
      <c r="A12" s="4" t="s">
        <v>50</v>
      </c>
      <c r="B12" s="4" t="s">
        <v>62</v>
      </c>
      <c r="C12" s="4" t="s">
        <v>52</v>
      </c>
      <c r="D12" s="4" t="s">
        <v>32</v>
      </c>
      <c r="E12" s="14">
        <v>12</v>
      </c>
      <c r="F12" s="15">
        <v>950</v>
      </c>
      <c r="G12" s="14">
        <v>3</v>
      </c>
      <c r="H12" s="15">
        <v>3000</v>
      </c>
      <c r="I12" s="16">
        <f t="shared" si="0"/>
        <v>20400</v>
      </c>
      <c r="J12" s="4" t="str">
        <f t="shared" si="1"/>
        <v>OK</v>
      </c>
    </row>
    <row r="13" spans="1:10" x14ac:dyDescent="0.2">
      <c r="A13" s="17" t="s">
        <v>50</v>
      </c>
      <c r="B13" s="17" t="s">
        <v>63</v>
      </c>
      <c r="C13" s="17" t="s">
        <v>52</v>
      </c>
      <c r="D13" s="17" t="s">
        <v>32</v>
      </c>
      <c r="E13" s="18">
        <v>12</v>
      </c>
      <c r="F13" s="19">
        <v>950</v>
      </c>
      <c r="G13" s="18">
        <v>4</v>
      </c>
      <c r="H13" s="19">
        <v>3000</v>
      </c>
      <c r="I13" s="20">
        <f t="shared" si="0"/>
        <v>23400</v>
      </c>
      <c r="J13" s="17" t="str">
        <f t="shared" si="1"/>
        <v>OK</v>
      </c>
    </row>
    <row r="14" spans="1:10" x14ac:dyDescent="0.2">
      <c r="A14" s="4" t="s">
        <v>50</v>
      </c>
      <c r="B14" s="4" t="s">
        <v>64</v>
      </c>
      <c r="C14" s="4" t="s">
        <v>52</v>
      </c>
      <c r="D14" s="4" t="s">
        <v>32</v>
      </c>
      <c r="E14" s="14"/>
      <c r="F14" s="15">
        <v>950</v>
      </c>
      <c r="G14" s="14">
        <v>24</v>
      </c>
      <c r="H14" s="15">
        <v>3000</v>
      </c>
      <c r="I14" s="16">
        <f t="shared" si="0"/>
        <v>72000</v>
      </c>
      <c r="J14" s="4" t="str">
        <f t="shared" si="1"/>
        <v>OK</v>
      </c>
    </row>
    <row r="15" spans="1:10" x14ac:dyDescent="0.2">
      <c r="A15" s="17" t="s">
        <v>50</v>
      </c>
      <c r="B15" s="17" t="s">
        <v>65</v>
      </c>
      <c r="C15" s="17" t="s">
        <v>52</v>
      </c>
      <c r="D15" s="17" t="s">
        <v>32</v>
      </c>
      <c r="E15" s="18"/>
      <c r="F15" s="19">
        <v>950</v>
      </c>
      <c r="G15" s="18">
        <v>16</v>
      </c>
      <c r="H15" s="19">
        <v>3000</v>
      </c>
      <c r="I15" s="20">
        <f t="shared" si="0"/>
        <v>48000</v>
      </c>
      <c r="J15" s="17" t="str">
        <f t="shared" si="1"/>
        <v>OK</v>
      </c>
    </row>
    <row r="16" spans="1:10" x14ac:dyDescent="0.2">
      <c r="A16" s="4" t="s">
        <v>50</v>
      </c>
      <c r="B16" s="4" t="s">
        <v>66</v>
      </c>
      <c r="C16" s="4" t="s">
        <v>52</v>
      </c>
      <c r="D16" s="4" t="s">
        <v>32</v>
      </c>
      <c r="E16" s="14">
        <v>28</v>
      </c>
      <c r="F16" s="15">
        <v>950</v>
      </c>
      <c r="G16" s="14">
        <v>8</v>
      </c>
      <c r="H16" s="15">
        <v>3000</v>
      </c>
      <c r="I16" s="16">
        <f t="shared" si="0"/>
        <v>50600</v>
      </c>
      <c r="J16" s="4" t="str">
        <f t="shared" si="1"/>
        <v>OK</v>
      </c>
    </row>
    <row r="17" spans="1:10" x14ac:dyDescent="0.2">
      <c r="A17" s="17" t="s">
        <v>50</v>
      </c>
      <c r="B17" s="17" t="s">
        <v>67</v>
      </c>
      <c r="C17" s="17" t="s">
        <v>52</v>
      </c>
      <c r="D17" s="17" t="s">
        <v>32</v>
      </c>
      <c r="E17" s="18">
        <v>28</v>
      </c>
      <c r="F17" s="19">
        <v>950</v>
      </c>
      <c r="G17" s="18">
        <v>28</v>
      </c>
      <c r="H17" s="19">
        <v>3000</v>
      </c>
      <c r="I17" s="20">
        <f t="shared" si="0"/>
        <v>110600</v>
      </c>
      <c r="J17" s="17" t="str">
        <f t="shared" si="1"/>
        <v>OK</v>
      </c>
    </row>
    <row r="18" spans="1:10" x14ac:dyDescent="0.2">
      <c r="A18" s="4" t="s">
        <v>50</v>
      </c>
      <c r="B18" s="4" t="s">
        <v>68</v>
      </c>
      <c r="C18" s="4" t="s">
        <v>52</v>
      </c>
      <c r="D18" s="4" t="s">
        <v>32</v>
      </c>
      <c r="E18" s="14">
        <v>8</v>
      </c>
      <c r="F18" s="15">
        <v>950</v>
      </c>
      <c r="G18" s="14">
        <v>1.5</v>
      </c>
      <c r="H18" s="15">
        <v>3000</v>
      </c>
      <c r="I18" s="16">
        <f t="shared" si="0"/>
        <v>12100</v>
      </c>
      <c r="J18" s="4" t="str">
        <f t="shared" si="1"/>
        <v>OK</v>
      </c>
    </row>
    <row r="19" spans="1:10" x14ac:dyDescent="0.2">
      <c r="A19" s="17" t="s">
        <v>50</v>
      </c>
      <c r="B19" s="17" t="s">
        <v>69</v>
      </c>
      <c r="C19" s="17" t="s">
        <v>52</v>
      </c>
      <c r="D19" s="17" t="s">
        <v>32</v>
      </c>
      <c r="E19" s="18">
        <v>80</v>
      </c>
      <c r="F19" s="19">
        <v>950</v>
      </c>
      <c r="G19" s="18">
        <v>24</v>
      </c>
      <c r="H19" s="19">
        <v>3000</v>
      </c>
      <c r="I19" s="20">
        <f t="shared" si="0"/>
        <v>148000</v>
      </c>
      <c r="J19" s="17" t="str">
        <f t="shared" si="1"/>
        <v>OK</v>
      </c>
    </row>
    <row r="20" spans="1:10" x14ac:dyDescent="0.2">
      <c r="A20" s="4" t="s">
        <v>50</v>
      </c>
      <c r="B20" s="4" t="s">
        <v>70</v>
      </c>
      <c r="C20" s="4" t="s">
        <v>52</v>
      </c>
      <c r="D20" s="4" t="s">
        <v>32</v>
      </c>
      <c r="E20" s="14">
        <v>80</v>
      </c>
      <c r="F20" s="15">
        <v>950</v>
      </c>
      <c r="G20" s="14">
        <v>35</v>
      </c>
      <c r="H20" s="15">
        <v>3000</v>
      </c>
      <c r="I20" s="16">
        <f t="shared" si="0"/>
        <v>181000</v>
      </c>
      <c r="J20" s="4" t="str">
        <f t="shared" si="1"/>
        <v>OK</v>
      </c>
    </row>
    <row r="21" spans="1:10" x14ac:dyDescent="0.2">
      <c r="A21" s="17" t="s">
        <v>50</v>
      </c>
      <c r="B21" s="17" t="s">
        <v>71</v>
      </c>
      <c r="C21" s="17" t="s">
        <v>52</v>
      </c>
      <c r="D21" s="17" t="s">
        <v>32</v>
      </c>
      <c r="E21" s="18">
        <v>110</v>
      </c>
      <c r="F21" s="19">
        <v>950</v>
      </c>
      <c r="G21" s="18">
        <v>5</v>
      </c>
      <c r="H21" s="19">
        <v>3000</v>
      </c>
      <c r="I21" s="20">
        <f t="shared" si="0"/>
        <v>119500</v>
      </c>
      <c r="J21" s="17" t="str">
        <f t="shared" si="1"/>
        <v>OK</v>
      </c>
    </row>
    <row r="22" spans="1:10" x14ac:dyDescent="0.2">
      <c r="A22" s="4" t="s">
        <v>50</v>
      </c>
      <c r="B22" s="4" t="s">
        <v>72</v>
      </c>
      <c r="C22" s="4" t="s">
        <v>52</v>
      </c>
      <c r="D22" s="4" t="s">
        <v>32</v>
      </c>
      <c r="E22" s="14">
        <v>16</v>
      </c>
      <c r="F22" s="15">
        <v>950</v>
      </c>
      <c r="G22" s="14">
        <v>10</v>
      </c>
      <c r="H22" s="15">
        <v>3000</v>
      </c>
      <c r="I22" s="16">
        <f t="shared" si="0"/>
        <v>45200</v>
      </c>
      <c r="J22" s="4" t="str">
        <f t="shared" si="1"/>
        <v>OK</v>
      </c>
    </row>
    <row r="23" spans="1:10" x14ac:dyDescent="0.2">
      <c r="A23" s="17" t="s">
        <v>50</v>
      </c>
      <c r="B23" s="17" t="s">
        <v>73</v>
      </c>
      <c r="C23" s="17" t="s">
        <v>52</v>
      </c>
      <c r="D23" s="17" t="s">
        <v>32</v>
      </c>
      <c r="E23" s="18">
        <v>35</v>
      </c>
      <c r="F23" s="19">
        <v>950</v>
      </c>
      <c r="G23" s="18">
        <v>1</v>
      </c>
      <c r="H23" s="19">
        <v>3000</v>
      </c>
      <c r="I23" s="20">
        <f t="shared" si="0"/>
        <v>36250</v>
      </c>
      <c r="J23" s="17" t="str">
        <f t="shared" si="1"/>
        <v>OK</v>
      </c>
    </row>
    <row r="24" spans="1:10" x14ac:dyDescent="0.2">
      <c r="A24" s="4" t="s">
        <v>50</v>
      </c>
      <c r="B24" s="4" t="s">
        <v>74</v>
      </c>
      <c r="C24" s="4" t="s">
        <v>52</v>
      </c>
      <c r="D24" s="4" t="s">
        <v>32</v>
      </c>
      <c r="E24" s="14">
        <v>12</v>
      </c>
      <c r="F24" s="15">
        <v>950</v>
      </c>
      <c r="G24" s="14">
        <v>4</v>
      </c>
      <c r="H24" s="15">
        <v>3000</v>
      </c>
      <c r="I24" s="16">
        <f t="shared" si="0"/>
        <v>23400</v>
      </c>
      <c r="J24" s="4" t="str">
        <f t="shared" si="1"/>
        <v>OK</v>
      </c>
    </row>
    <row r="25" spans="1:10" x14ac:dyDescent="0.2">
      <c r="A25" s="17" t="s">
        <v>50</v>
      </c>
      <c r="B25" s="17" t="s">
        <v>75</v>
      </c>
      <c r="C25" s="17" t="s">
        <v>52</v>
      </c>
      <c r="D25" s="17" t="s">
        <v>32</v>
      </c>
      <c r="E25" s="18">
        <v>40</v>
      </c>
      <c r="F25" s="19">
        <v>950</v>
      </c>
      <c r="G25" s="18">
        <v>12</v>
      </c>
      <c r="H25" s="19">
        <v>3000</v>
      </c>
      <c r="I25" s="20">
        <f t="shared" si="0"/>
        <v>74000</v>
      </c>
      <c r="J25" s="17" t="str">
        <f t="shared" si="1"/>
        <v>OK</v>
      </c>
    </row>
    <row r="26" spans="1:10" x14ac:dyDescent="0.2">
      <c r="A26" s="4" t="s">
        <v>50</v>
      </c>
      <c r="B26" s="4" t="s">
        <v>76</v>
      </c>
      <c r="C26" s="4" t="s">
        <v>52</v>
      </c>
      <c r="D26" s="4" t="s">
        <v>32</v>
      </c>
      <c r="E26" s="14">
        <v>40</v>
      </c>
      <c r="F26" s="15">
        <v>950</v>
      </c>
      <c r="G26" s="14">
        <v>12</v>
      </c>
      <c r="H26" s="15">
        <v>3000</v>
      </c>
      <c r="I26" s="16">
        <f t="shared" si="0"/>
        <v>74000</v>
      </c>
      <c r="J26" s="4" t="str">
        <f t="shared" si="1"/>
        <v>OK</v>
      </c>
    </row>
    <row r="27" spans="1:10" x14ac:dyDescent="0.2">
      <c r="A27" s="17" t="s">
        <v>77</v>
      </c>
      <c r="B27" s="17" t="s">
        <v>78</v>
      </c>
      <c r="C27" s="17" t="s">
        <v>52</v>
      </c>
      <c r="D27" s="17" t="s">
        <v>33</v>
      </c>
      <c r="E27" s="18">
        <v>0.5</v>
      </c>
      <c r="F27" s="19">
        <v>800</v>
      </c>
      <c r="G27" s="18">
        <v>0</v>
      </c>
      <c r="H27" s="19">
        <v>3000</v>
      </c>
      <c r="I27" s="20">
        <f t="shared" si="0"/>
        <v>400</v>
      </c>
      <c r="J27" s="17" t="str">
        <f t="shared" si="1"/>
        <v>OK</v>
      </c>
    </row>
    <row r="28" spans="1:10" x14ac:dyDescent="0.2">
      <c r="A28" s="4" t="s">
        <v>77</v>
      </c>
      <c r="B28" s="4" t="s">
        <v>79</v>
      </c>
      <c r="C28" s="4" t="s">
        <v>52</v>
      </c>
      <c r="D28" s="4" t="s">
        <v>32</v>
      </c>
      <c r="E28" s="14">
        <v>4</v>
      </c>
      <c r="F28" s="15">
        <v>800</v>
      </c>
      <c r="G28" s="14">
        <v>0</v>
      </c>
      <c r="H28" s="15">
        <v>3000</v>
      </c>
      <c r="I28" s="16">
        <f t="shared" si="0"/>
        <v>3200</v>
      </c>
      <c r="J28" s="4" t="str">
        <f t="shared" si="1"/>
        <v>OK</v>
      </c>
    </row>
    <row r="29" spans="1:10" x14ac:dyDescent="0.2">
      <c r="A29" s="17" t="s">
        <v>77</v>
      </c>
      <c r="B29" s="17" t="s">
        <v>80</v>
      </c>
      <c r="C29" s="17" t="s">
        <v>52</v>
      </c>
      <c r="D29" s="17" t="s">
        <v>33</v>
      </c>
      <c r="E29" s="18">
        <v>1.5</v>
      </c>
      <c r="F29" s="19">
        <v>800</v>
      </c>
      <c r="G29" s="18">
        <v>0</v>
      </c>
      <c r="H29" s="19">
        <v>3000</v>
      </c>
      <c r="I29" s="20">
        <f t="shared" si="0"/>
        <v>1200</v>
      </c>
      <c r="J29" s="17" t="str">
        <f t="shared" si="1"/>
        <v>OK</v>
      </c>
    </row>
    <row r="30" spans="1:10" x14ac:dyDescent="0.2">
      <c r="A30" s="4" t="s">
        <v>77</v>
      </c>
      <c r="B30" s="4" t="s">
        <v>81</v>
      </c>
      <c r="C30" s="4" t="s">
        <v>52</v>
      </c>
      <c r="D30" s="4" t="s">
        <v>33</v>
      </c>
      <c r="E30" s="14">
        <v>1.5</v>
      </c>
      <c r="F30" s="15">
        <v>800</v>
      </c>
      <c r="G30" s="14">
        <v>1</v>
      </c>
      <c r="H30" s="15">
        <v>3000</v>
      </c>
      <c r="I30" s="16">
        <f t="shared" si="0"/>
        <v>4200</v>
      </c>
      <c r="J30" s="4" t="str">
        <f t="shared" si="1"/>
        <v>OK</v>
      </c>
    </row>
    <row r="31" spans="1:10" x14ac:dyDescent="0.2">
      <c r="A31" s="17" t="s">
        <v>77</v>
      </c>
      <c r="B31" s="17" t="s">
        <v>82</v>
      </c>
      <c r="C31" s="17" t="s">
        <v>52</v>
      </c>
      <c r="D31" s="17" t="s">
        <v>32</v>
      </c>
      <c r="E31" s="18">
        <v>4</v>
      </c>
      <c r="F31" s="19">
        <v>800</v>
      </c>
      <c r="G31" s="18">
        <v>0</v>
      </c>
      <c r="H31" s="19">
        <v>3000</v>
      </c>
      <c r="I31" s="20">
        <f t="shared" si="0"/>
        <v>3200</v>
      </c>
      <c r="J31" s="17" t="str">
        <f t="shared" si="1"/>
        <v>OK</v>
      </c>
    </row>
    <row r="32" spans="1:10" x14ac:dyDescent="0.2">
      <c r="A32" s="4" t="s">
        <v>77</v>
      </c>
      <c r="B32" s="4" t="s">
        <v>83</v>
      </c>
      <c r="C32" s="4" t="s">
        <v>52</v>
      </c>
      <c r="D32" s="4" t="s">
        <v>33</v>
      </c>
      <c r="E32" s="14">
        <v>2</v>
      </c>
      <c r="F32" s="15">
        <v>800</v>
      </c>
      <c r="G32" s="14">
        <v>0</v>
      </c>
      <c r="H32" s="15">
        <v>3000</v>
      </c>
      <c r="I32" s="16">
        <f t="shared" si="0"/>
        <v>1600</v>
      </c>
      <c r="J32" s="4" t="str">
        <f t="shared" si="1"/>
        <v>OK</v>
      </c>
    </row>
    <row r="33" spans="1:10" x14ac:dyDescent="0.2">
      <c r="A33" s="17" t="s">
        <v>77</v>
      </c>
      <c r="B33" s="17" t="s">
        <v>84</v>
      </c>
      <c r="C33" s="17" t="s">
        <v>52</v>
      </c>
      <c r="D33" s="17" t="s">
        <v>33</v>
      </c>
      <c r="E33" s="18">
        <v>4</v>
      </c>
      <c r="F33" s="19">
        <v>800</v>
      </c>
      <c r="G33" s="18">
        <v>0</v>
      </c>
      <c r="H33" s="19">
        <v>3000</v>
      </c>
      <c r="I33" s="20">
        <f t="shared" si="0"/>
        <v>3200</v>
      </c>
      <c r="J33" s="17" t="str">
        <f t="shared" si="1"/>
        <v>OK</v>
      </c>
    </row>
    <row r="34" spans="1:10" x14ac:dyDescent="0.2">
      <c r="A34" s="4" t="s">
        <v>77</v>
      </c>
      <c r="B34" s="4" t="s">
        <v>85</v>
      </c>
      <c r="C34" s="4" t="s">
        <v>52</v>
      </c>
      <c r="D34" s="4" t="s">
        <v>33</v>
      </c>
      <c r="E34" s="14">
        <v>8</v>
      </c>
      <c r="F34" s="15">
        <v>800</v>
      </c>
      <c r="G34" s="14">
        <v>0</v>
      </c>
      <c r="H34" s="15">
        <v>3000</v>
      </c>
      <c r="I34" s="16">
        <f t="shared" ref="I34:I65" si="2">IFERROR(N(E34)*N(F34)+N(G34)*N(H34),0)</f>
        <v>6400</v>
      </c>
      <c r="J34" s="4" t="str">
        <f t="shared" ref="J34:J65" si="3">IF(N(I34)&gt;0,"OK","RATE NOT SET")</f>
        <v>OK</v>
      </c>
    </row>
    <row r="35" spans="1:10" x14ac:dyDescent="0.2">
      <c r="A35" s="17" t="s">
        <v>77</v>
      </c>
      <c r="B35" s="17" t="s">
        <v>86</v>
      </c>
      <c r="C35" s="17" t="s">
        <v>52</v>
      </c>
      <c r="D35" s="17" t="s">
        <v>33</v>
      </c>
      <c r="E35" s="18">
        <v>5</v>
      </c>
      <c r="F35" s="19">
        <v>800</v>
      </c>
      <c r="G35" s="18">
        <v>0</v>
      </c>
      <c r="H35" s="19">
        <v>3000</v>
      </c>
      <c r="I35" s="20">
        <f t="shared" si="2"/>
        <v>4000</v>
      </c>
      <c r="J35" s="17" t="str">
        <f t="shared" si="3"/>
        <v>OK</v>
      </c>
    </row>
    <row r="36" spans="1:10" x14ac:dyDescent="0.2">
      <c r="A36" s="4" t="s">
        <v>77</v>
      </c>
      <c r="B36" s="4" t="s">
        <v>87</v>
      </c>
      <c r="C36" s="4" t="s">
        <v>52</v>
      </c>
      <c r="D36" s="4" t="s">
        <v>33</v>
      </c>
      <c r="E36" s="14">
        <v>10</v>
      </c>
      <c r="F36" s="15">
        <v>800</v>
      </c>
      <c r="G36" s="14">
        <v>0</v>
      </c>
      <c r="H36" s="15">
        <v>3000</v>
      </c>
      <c r="I36" s="16">
        <f t="shared" si="2"/>
        <v>8000</v>
      </c>
      <c r="J36" s="4" t="str">
        <f t="shared" si="3"/>
        <v>OK</v>
      </c>
    </row>
    <row r="37" spans="1:10" x14ac:dyDescent="0.2">
      <c r="A37" s="17" t="s">
        <v>77</v>
      </c>
      <c r="B37" s="17" t="s">
        <v>88</v>
      </c>
      <c r="C37" s="17" t="s">
        <v>52</v>
      </c>
      <c r="D37" s="17" t="s">
        <v>32</v>
      </c>
      <c r="E37" s="18">
        <v>8.5</v>
      </c>
      <c r="F37" s="19">
        <v>800</v>
      </c>
      <c r="G37" s="18">
        <v>0.5</v>
      </c>
      <c r="H37" s="19">
        <v>3000</v>
      </c>
      <c r="I37" s="20">
        <f t="shared" si="2"/>
        <v>8300</v>
      </c>
      <c r="J37" s="17" t="str">
        <f t="shared" si="3"/>
        <v>OK</v>
      </c>
    </row>
    <row r="38" spans="1:10" x14ac:dyDescent="0.2">
      <c r="A38" s="4" t="s">
        <v>77</v>
      </c>
      <c r="B38" s="4" t="s">
        <v>89</v>
      </c>
      <c r="C38" s="4" t="s">
        <v>52</v>
      </c>
      <c r="D38" s="4" t="s">
        <v>33</v>
      </c>
      <c r="E38" s="14">
        <v>2</v>
      </c>
      <c r="F38" s="15">
        <v>800</v>
      </c>
      <c r="G38" s="14">
        <v>0</v>
      </c>
      <c r="H38" s="15">
        <v>3000</v>
      </c>
      <c r="I38" s="16">
        <f t="shared" si="2"/>
        <v>1600</v>
      </c>
      <c r="J38" s="4" t="str">
        <f t="shared" si="3"/>
        <v>OK</v>
      </c>
    </row>
    <row r="39" spans="1:10" x14ac:dyDescent="0.2">
      <c r="A39" s="17" t="s">
        <v>77</v>
      </c>
      <c r="B39" s="17" t="s">
        <v>90</v>
      </c>
      <c r="C39" s="17" t="s">
        <v>52</v>
      </c>
      <c r="D39" s="17" t="s">
        <v>33</v>
      </c>
      <c r="E39" s="18">
        <v>4</v>
      </c>
      <c r="F39" s="19">
        <v>800</v>
      </c>
      <c r="G39" s="18">
        <v>0</v>
      </c>
      <c r="H39" s="19">
        <v>3000</v>
      </c>
      <c r="I39" s="20">
        <f t="shared" si="2"/>
        <v>3200</v>
      </c>
      <c r="J39" s="17" t="str">
        <f t="shared" si="3"/>
        <v>OK</v>
      </c>
    </row>
    <row r="40" spans="1:10" x14ac:dyDescent="0.2">
      <c r="A40" s="4" t="s">
        <v>77</v>
      </c>
      <c r="B40" s="4" t="s">
        <v>91</v>
      </c>
      <c r="C40" s="4" t="s">
        <v>52</v>
      </c>
      <c r="D40" s="4" t="s">
        <v>33</v>
      </c>
      <c r="E40" s="14">
        <v>2</v>
      </c>
      <c r="F40" s="15">
        <v>800</v>
      </c>
      <c r="G40" s="14">
        <v>0</v>
      </c>
      <c r="H40" s="15">
        <v>3000</v>
      </c>
      <c r="I40" s="16">
        <f t="shared" si="2"/>
        <v>1600</v>
      </c>
      <c r="J40" s="4" t="str">
        <f t="shared" si="3"/>
        <v>OK</v>
      </c>
    </row>
    <row r="41" spans="1:10" x14ac:dyDescent="0.2">
      <c r="A41" s="17" t="s">
        <v>77</v>
      </c>
      <c r="B41" s="17" t="s">
        <v>92</v>
      </c>
      <c r="C41" s="17" t="s">
        <v>52</v>
      </c>
      <c r="D41" s="17" t="s">
        <v>33</v>
      </c>
      <c r="E41" s="18">
        <v>8</v>
      </c>
      <c r="F41" s="19">
        <v>800</v>
      </c>
      <c r="G41" s="18">
        <v>0</v>
      </c>
      <c r="H41" s="19">
        <v>3000</v>
      </c>
      <c r="I41" s="20">
        <f t="shared" si="2"/>
        <v>6400</v>
      </c>
      <c r="J41" s="17" t="str">
        <f t="shared" si="3"/>
        <v>OK</v>
      </c>
    </row>
    <row r="42" spans="1:10" x14ac:dyDescent="0.2">
      <c r="A42" s="4" t="s">
        <v>77</v>
      </c>
      <c r="B42" s="4" t="s">
        <v>93</v>
      </c>
      <c r="C42" s="4" t="s">
        <v>52</v>
      </c>
      <c r="D42" s="4" t="s">
        <v>33</v>
      </c>
      <c r="E42" s="14">
        <v>4</v>
      </c>
      <c r="F42" s="15">
        <v>800</v>
      </c>
      <c r="G42" s="14">
        <v>0</v>
      </c>
      <c r="H42" s="15">
        <v>3000</v>
      </c>
      <c r="I42" s="16">
        <f t="shared" si="2"/>
        <v>3200</v>
      </c>
      <c r="J42" s="4" t="str">
        <f t="shared" si="3"/>
        <v>OK</v>
      </c>
    </row>
    <row r="43" spans="1:10" x14ac:dyDescent="0.2">
      <c r="A43" s="17" t="s">
        <v>77</v>
      </c>
      <c r="B43" s="17" t="s">
        <v>94</v>
      </c>
      <c r="C43" s="17" t="s">
        <v>52</v>
      </c>
      <c r="D43" s="17" t="s">
        <v>33</v>
      </c>
      <c r="E43" s="18">
        <v>2</v>
      </c>
      <c r="F43" s="19">
        <v>800</v>
      </c>
      <c r="G43" s="18">
        <v>0</v>
      </c>
      <c r="H43" s="19">
        <v>3000</v>
      </c>
      <c r="I43" s="20">
        <f t="shared" si="2"/>
        <v>1600</v>
      </c>
      <c r="J43" s="17" t="str">
        <f t="shared" si="3"/>
        <v>OK</v>
      </c>
    </row>
    <row r="44" spans="1:10" x14ac:dyDescent="0.2">
      <c r="A44" s="4" t="s">
        <v>77</v>
      </c>
      <c r="B44" s="4" t="s">
        <v>95</v>
      </c>
      <c r="C44" s="4" t="s">
        <v>52</v>
      </c>
      <c r="D44" s="4" t="s">
        <v>33</v>
      </c>
      <c r="E44" s="14">
        <v>8</v>
      </c>
      <c r="F44" s="15">
        <v>800</v>
      </c>
      <c r="G44" s="14">
        <v>0</v>
      </c>
      <c r="H44" s="15">
        <v>3000</v>
      </c>
      <c r="I44" s="16">
        <f t="shared" si="2"/>
        <v>6400</v>
      </c>
      <c r="J44" s="4" t="str">
        <f t="shared" si="3"/>
        <v>OK</v>
      </c>
    </row>
    <row r="45" spans="1:10" x14ac:dyDescent="0.2">
      <c r="A45" s="17" t="s">
        <v>77</v>
      </c>
      <c r="B45" s="17" t="s">
        <v>96</v>
      </c>
      <c r="C45" s="17" t="s">
        <v>52</v>
      </c>
      <c r="D45" s="17" t="s">
        <v>33</v>
      </c>
      <c r="E45" s="18">
        <v>4</v>
      </c>
      <c r="F45" s="19">
        <v>800</v>
      </c>
      <c r="G45" s="18">
        <v>0</v>
      </c>
      <c r="H45" s="19">
        <v>3000</v>
      </c>
      <c r="I45" s="20">
        <f t="shared" si="2"/>
        <v>3200</v>
      </c>
      <c r="J45" s="17" t="str">
        <f t="shared" si="3"/>
        <v>OK</v>
      </c>
    </row>
    <row r="46" spans="1:10" x14ac:dyDescent="0.2">
      <c r="A46" s="4" t="s">
        <v>77</v>
      </c>
      <c r="B46" s="4" t="s">
        <v>97</v>
      </c>
      <c r="C46" s="4" t="s">
        <v>52</v>
      </c>
      <c r="D46" s="4" t="s">
        <v>33</v>
      </c>
      <c r="E46" s="14">
        <v>12</v>
      </c>
      <c r="F46" s="15">
        <v>800</v>
      </c>
      <c r="G46" s="14">
        <v>0</v>
      </c>
      <c r="H46" s="15">
        <v>3000</v>
      </c>
      <c r="I46" s="16">
        <f t="shared" si="2"/>
        <v>9600</v>
      </c>
      <c r="J46" s="4" t="str">
        <f t="shared" si="3"/>
        <v>OK</v>
      </c>
    </row>
    <row r="47" spans="1:10" x14ac:dyDescent="0.2">
      <c r="A47" s="17" t="s">
        <v>77</v>
      </c>
      <c r="B47" s="17" t="s">
        <v>98</v>
      </c>
      <c r="C47" s="17" t="s">
        <v>52</v>
      </c>
      <c r="D47" s="17" t="s">
        <v>33</v>
      </c>
      <c r="E47" s="18">
        <v>16</v>
      </c>
      <c r="F47" s="19">
        <v>800</v>
      </c>
      <c r="G47" s="18">
        <v>0</v>
      </c>
      <c r="H47" s="19">
        <v>3000</v>
      </c>
      <c r="I47" s="20">
        <f t="shared" si="2"/>
        <v>12800</v>
      </c>
      <c r="J47" s="17" t="str">
        <f t="shared" si="3"/>
        <v>OK</v>
      </c>
    </row>
    <row r="48" spans="1:10" x14ac:dyDescent="0.2">
      <c r="A48" s="4" t="s">
        <v>77</v>
      </c>
      <c r="B48" s="4" t="s">
        <v>99</v>
      </c>
      <c r="C48" s="4" t="s">
        <v>52</v>
      </c>
      <c r="D48" s="4" t="s">
        <v>33</v>
      </c>
      <c r="E48" s="14"/>
      <c r="F48" s="15">
        <v>800</v>
      </c>
      <c r="G48" s="14">
        <v>0</v>
      </c>
      <c r="H48" s="15">
        <v>3000</v>
      </c>
      <c r="I48" s="16">
        <f t="shared" si="2"/>
        <v>0</v>
      </c>
      <c r="J48" s="4" t="str">
        <f t="shared" si="3"/>
        <v>RATE NOT SET</v>
      </c>
    </row>
    <row r="49" spans="1:10" x14ac:dyDescent="0.2">
      <c r="A49" s="17" t="s">
        <v>100</v>
      </c>
      <c r="B49" s="17" t="s">
        <v>101</v>
      </c>
      <c r="C49" s="17" t="s">
        <v>52</v>
      </c>
      <c r="D49" s="17" t="s">
        <v>32</v>
      </c>
      <c r="E49" s="18">
        <v>25</v>
      </c>
      <c r="F49" s="19">
        <v>850</v>
      </c>
      <c r="G49" s="18">
        <v>0</v>
      </c>
      <c r="H49" s="19">
        <v>3000</v>
      </c>
      <c r="I49" s="20">
        <f t="shared" si="2"/>
        <v>21250</v>
      </c>
      <c r="J49" s="17" t="str">
        <f t="shared" si="3"/>
        <v>OK</v>
      </c>
    </row>
    <row r="50" spans="1:10" x14ac:dyDescent="0.2">
      <c r="A50" s="4" t="s">
        <v>100</v>
      </c>
      <c r="B50" s="4" t="s">
        <v>102</v>
      </c>
      <c r="C50" s="4" t="s">
        <v>52</v>
      </c>
      <c r="D50" s="4" t="s">
        <v>32</v>
      </c>
      <c r="E50" s="14">
        <v>50</v>
      </c>
      <c r="F50" s="15">
        <v>850</v>
      </c>
      <c r="G50" s="14">
        <v>2</v>
      </c>
      <c r="H50" s="15">
        <v>3000</v>
      </c>
      <c r="I50" s="16">
        <f t="shared" si="2"/>
        <v>48500</v>
      </c>
      <c r="J50" s="4" t="str">
        <f t="shared" si="3"/>
        <v>OK</v>
      </c>
    </row>
    <row r="51" spans="1:10" x14ac:dyDescent="0.2">
      <c r="A51" s="17" t="s">
        <v>100</v>
      </c>
      <c r="B51" s="17" t="s">
        <v>103</v>
      </c>
      <c r="C51" s="17" t="s">
        <v>52</v>
      </c>
      <c r="D51" s="17" t="s">
        <v>32</v>
      </c>
      <c r="E51" s="18">
        <v>120</v>
      </c>
      <c r="F51" s="19">
        <v>850</v>
      </c>
      <c r="G51" s="18">
        <v>0</v>
      </c>
      <c r="H51" s="19">
        <v>3000</v>
      </c>
      <c r="I51" s="20">
        <f t="shared" si="2"/>
        <v>102000</v>
      </c>
      <c r="J51" s="17" t="str">
        <f t="shared" si="3"/>
        <v>OK</v>
      </c>
    </row>
    <row r="52" spans="1:10" x14ac:dyDescent="0.2">
      <c r="A52" s="4" t="s">
        <v>100</v>
      </c>
      <c r="B52" s="4" t="s">
        <v>104</v>
      </c>
      <c r="C52" s="4" t="s">
        <v>52</v>
      </c>
      <c r="D52" s="4" t="s">
        <v>32</v>
      </c>
      <c r="E52" s="14">
        <v>50</v>
      </c>
      <c r="F52" s="15">
        <v>850</v>
      </c>
      <c r="G52" s="14">
        <v>1</v>
      </c>
      <c r="H52" s="15">
        <v>3000</v>
      </c>
      <c r="I52" s="16">
        <f t="shared" si="2"/>
        <v>45500</v>
      </c>
      <c r="J52" s="4" t="str">
        <f t="shared" si="3"/>
        <v>OK</v>
      </c>
    </row>
    <row r="53" spans="1:10" x14ac:dyDescent="0.2">
      <c r="A53" s="17" t="s">
        <v>100</v>
      </c>
      <c r="B53" s="17" t="s">
        <v>105</v>
      </c>
      <c r="C53" s="17" t="s">
        <v>52</v>
      </c>
      <c r="D53" s="17" t="s">
        <v>32</v>
      </c>
      <c r="E53" s="18">
        <v>40</v>
      </c>
      <c r="F53" s="19">
        <v>850</v>
      </c>
      <c r="G53" s="18">
        <v>0</v>
      </c>
      <c r="H53" s="19">
        <v>3000</v>
      </c>
      <c r="I53" s="20">
        <f t="shared" si="2"/>
        <v>34000</v>
      </c>
      <c r="J53" s="17" t="str">
        <f t="shared" si="3"/>
        <v>OK</v>
      </c>
    </row>
    <row r="54" spans="1:10" x14ac:dyDescent="0.2">
      <c r="A54" s="4" t="s">
        <v>100</v>
      </c>
      <c r="B54" s="4" t="s">
        <v>106</v>
      </c>
      <c r="C54" s="4" t="s">
        <v>52</v>
      </c>
      <c r="D54" s="4" t="s">
        <v>32</v>
      </c>
      <c r="E54" s="14">
        <v>80</v>
      </c>
      <c r="F54" s="15">
        <v>850</v>
      </c>
      <c r="G54" s="14">
        <v>0</v>
      </c>
      <c r="H54" s="15">
        <v>3000</v>
      </c>
      <c r="I54" s="16">
        <f t="shared" si="2"/>
        <v>68000</v>
      </c>
      <c r="J54" s="4" t="str">
        <f t="shared" si="3"/>
        <v>OK</v>
      </c>
    </row>
    <row r="55" spans="1:10" x14ac:dyDescent="0.2">
      <c r="A55" s="17" t="s">
        <v>100</v>
      </c>
      <c r="B55" s="17" t="s">
        <v>107</v>
      </c>
      <c r="C55" s="17" t="s">
        <v>52</v>
      </c>
      <c r="D55" s="17" t="s">
        <v>32</v>
      </c>
      <c r="E55" s="18">
        <v>50</v>
      </c>
      <c r="F55" s="19">
        <v>850</v>
      </c>
      <c r="G55" s="18">
        <v>0</v>
      </c>
      <c r="H55" s="19">
        <v>3000</v>
      </c>
      <c r="I55" s="20">
        <f t="shared" si="2"/>
        <v>42500</v>
      </c>
      <c r="J55" s="17" t="str">
        <f t="shared" si="3"/>
        <v>OK</v>
      </c>
    </row>
    <row r="56" spans="1:10" x14ac:dyDescent="0.2">
      <c r="A56" s="4" t="s">
        <v>100</v>
      </c>
      <c r="B56" s="4" t="s">
        <v>108</v>
      </c>
      <c r="C56" s="4" t="s">
        <v>52</v>
      </c>
      <c r="D56" s="4" t="s">
        <v>32</v>
      </c>
      <c r="E56" s="14">
        <v>80</v>
      </c>
      <c r="F56" s="15">
        <v>850</v>
      </c>
      <c r="G56" s="14">
        <v>0</v>
      </c>
      <c r="H56" s="15">
        <v>3000</v>
      </c>
      <c r="I56" s="16">
        <f t="shared" si="2"/>
        <v>68000</v>
      </c>
      <c r="J56" s="4" t="str">
        <f t="shared" si="3"/>
        <v>OK</v>
      </c>
    </row>
    <row r="57" spans="1:10" x14ac:dyDescent="0.2">
      <c r="A57" s="17" t="s">
        <v>100</v>
      </c>
      <c r="B57" s="17" t="s">
        <v>109</v>
      </c>
      <c r="C57" s="17" t="s">
        <v>52</v>
      </c>
      <c r="D57" s="17" t="s">
        <v>32</v>
      </c>
      <c r="E57" s="18">
        <v>5</v>
      </c>
      <c r="F57" s="19">
        <v>850</v>
      </c>
      <c r="G57" s="18">
        <v>1</v>
      </c>
      <c r="H57" s="19">
        <v>3000</v>
      </c>
      <c r="I57" s="20">
        <f t="shared" si="2"/>
        <v>7250</v>
      </c>
      <c r="J57" s="17" t="str">
        <f t="shared" si="3"/>
        <v>OK</v>
      </c>
    </row>
    <row r="58" spans="1:10" x14ac:dyDescent="0.2">
      <c r="A58" s="4" t="s">
        <v>100</v>
      </c>
      <c r="B58" s="4" t="s">
        <v>110</v>
      </c>
      <c r="C58" s="4" t="s">
        <v>52</v>
      </c>
      <c r="D58" s="4" t="s">
        <v>34</v>
      </c>
      <c r="E58" s="14">
        <v>1</v>
      </c>
      <c r="F58" s="15">
        <v>850</v>
      </c>
      <c r="G58" s="14">
        <v>0</v>
      </c>
      <c r="H58" s="15">
        <v>3000</v>
      </c>
      <c r="I58" s="16">
        <f t="shared" si="2"/>
        <v>850</v>
      </c>
      <c r="J58" s="4" t="str">
        <f t="shared" si="3"/>
        <v>OK</v>
      </c>
    </row>
    <row r="59" spans="1:10" x14ac:dyDescent="0.2">
      <c r="A59" s="17" t="s">
        <v>100</v>
      </c>
      <c r="B59" s="17" t="s">
        <v>111</v>
      </c>
      <c r="C59" s="17" t="s">
        <v>52</v>
      </c>
      <c r="D59" s="17" t="s">
        <v>35</v>
      </c>
      <c r="E59" s="18">
        <v>1.5</v>
      </c>
      <c r="F59" s="19">
        <v>850</v>
      </c>
      <c r="G59" s="18">
        <v>10</v>
      </c>
      <c r="H59" s="19">
        <v>3000</v>
      </c>
      <c r="I59" s="20">
        <f t="shared" si="2"/>
        <v>31275</v>
      </c>
      <c r="J59" s="17" t="str">
        <f t="shared" si="3"/>
        <v>OK</v>
      </c>
    </row>
    <row r="60" spans="1:10" x14ac:dyDescent="0.2">
      <c r="A60" s="4" t="s">
        <v>100</v>
      </c>
      <c r="B60" s="4" t="s">
        <v>112</v>
      </c>
      <c r="C60" s="4" t="s">
        <v>52</v>
      </c>
      <c r="D60" s="4" t="s">
        <v>32</v>
      </c>
      <c r="E60" s="14">
        <v>60</v>
      </c>
      <c r="F60" s="15">
        <v>850</v>
      </c>
      <c r="G60" s="14">
        <v>1</v>
      </c>
      <c r="H60" s="15">
        <v>3000</v>
      </c>
      <c r="I60" s="16">
        <f t="shared" si="2"/>
        <v>54000</v>
      </c>
      <c r="J60" s="4" t="str">
        <f t="shared" si="3"/>
        <v>OK</v>
      </c>
    </row>
    <row r="61" spans="1:10" x14ac:dyDescent="0.2">
      <c r="A61" s="17" t="s">
        <v>100</v>
      </c>
      <c r="B61" s="17" t="s">
        <v>113</v>
      </c>
      <c r="C61" s="17" t="s">
        <v>52</v>
      </c>
      <c r="D61" s="17" t="s">
        <v>32</v>
      </c>
      <c r="E61" s="18">
        <v>30</v>
      </c>
      <c r="F61" s="19">
        <v>850</v>
      </c>
      <c r="G61" s="18">
        <v>0</v>
      </c>
      <c r="H61" s="19">
        <v>3000</v>
      </c>
      <c r="I61" s="20">
        <f t="shared" si="2"/>
        <v>25500</v>
      </c>
      <c r="J61" s="17" t="str">
        <f t="shared" si="3"/>
        <v>OK</v>
      </c>
    </row>
    <row r="62" spans="1:10" x14ac:dyDescent="0.2">
      <c r="A62" s="4" t="s">
        <v>100</v>
      </c>
      <c r="B62" s="4" t="s">
        <v>114</v>
      </c>
      <c r="C62" s="4" t="s">
        <v>52</v>
      </c>
      <c r="D62" s="4" t="s">
        <v>32</v>
      </c>
      <c r="E62" s="14">
        <v>20</v>
      </c>
      <c r="F62" s="15">
        <v>850</v>
      </c>
      <c r="G62" s="14">
        <v>0</v>
      </c>
      <c r="H62" s="15">
        <v>3000</v>
      </c>
      <c r="I62" s="16">
        <f t="shared" si="2"/>
        <v>17000</v>
      </c>
      <c r="J62" s="4" t="str">
        <f t="shared" si="3"/>
        <v>OK</v>
      </c>
    </row>
    <row r="63" spans="1:10" x14ac:dyDescent="0.2">
      <c r="A63" s="17" t="s">
        <v>100</v>
      </c>
      <c r="B63" s="17" t="s">
        <v>115</v>
      </c>
      <c r="C63" s="17" t="s">
        <v>52</v>
      </c>
      <c r="D63" s="17" t="s">
        <v>34</v>
      </c>
      <c r="E63" s="18">
        <v>2</v>
      </c>
      <c r="F63" s="19">
        <v>850</v>
      </c>
      <c r="G63" s="18">
        <v>0</v>
      </c>
      <c r="H63" s="19">
        <v>3000</v>
      </c>
      <c r="I63" s="20">
        <f t="shared" si="2"/>
        <v>1700</v>
      </c>
      <c r="J63" s="17" t="str">
        <f t="shared" si="3"/>
        <v>OK</v>
      </c>
    </row>
    <row r="64" spans="1:10" x14ac:dyDescent="0.2">
      <c r="A64" s="4" t="s">
        <v>100</v>
      </c>
      <c r="B64" s="4" t="s">
        <v>116</v>
      </c>
      <c r="C64" s="4" t="s">
        <v>52</v>
      </c>
      <c r="D64" s="4" t="s">
        <v>34</v>
      </c>
      <c r="E64" s="14">
        <v>0.5</v>
      </c>
      <c r="F64" s="15">
        <v>850</v>
      </c>
      <c r="G64" s="14">
        <v>0</v>
      </c>
      <c r="H64" s="15">
        <v>3000</v>
      </c>
      <c r="I64" s="16">
        <f t="shared" si="2"/>
        <v>425</v>
      </c>
      <c r="J64" s="4" t="str">
        <f t="shared" si="3"/>
        <v>OK</v>
      </c>
    </row>
    <row r="65" spans="1:10" x14ac:dyDescent="0.2">
      <c r="A65" s="17" t="s">
        <v>100</v>
      </c>
      <c r="B65" s="17" t="s">
        <v>117</v>
      </c>
      <c r="C65" s="17" t="s">
        <v>52</v>
      </c>
      <c r="D65" s="17" t="s">
        <v>34</v>
      </c>
      <c r="E65" s="18">
        <v>0.5</v>
      </c>
      <c r="F65" s="19">
        <v>850</v>
      </c>
      <c r="G65" s="18">
        <v>0</v>
      </c>
      <c r="H65" s="19">
        <v>3000</v>
      </c>
      <c r="I65" s="20">
        <f t="shared" si="2"/>
        <v>425</v>
      </c>
      <c r="J65" s="17" t="str">
        <f t="shared" si="3"/>
        <v>OK</v>
      </c>
    </row>
    <row r="66" spans="1:10" x14ac:dyDescent="0.2">
      <c r="A66" s="4" t="s">
        <v>100</v>
      </c>
      <c r="B66" s="4" t="s">
        <v>118</v>
      </c>
      <c r="C66" s="4" t="s">
        <v>52</v>
      </c>
      <c r="D66" s="4" t="s">
        <v>32</v>
      </c>
      <c r="E66" s="14">
        <v>6.5</v>
      </c>
      <c r="F66" s="15">
        <v>850</v>
      </c>
      <c r="G66" s="14">
        <v>0</v>
      </c>
      <c r="H66" s="15">
        <v>3000</v>
      </c>
      <c r="I66" s="16">
        <f t="shared" ref="I66:I97" si="4">IFERROR(N(E66)*N(F66)+N(G66)*N(H66),0)</f>
        <v>5525</v>
      </c>
      <c r="J66" s="4" t="str">
        <f t="shared" ref="J66:J97" si="5">IF(N(I66)&gt;0,"OK","RATE NOT SET")</f>
        <v>OK</v>
      </c>
    </row>
    <row r="67" spans="1:10" x14ac:dyDescent="0.2">
      <c r="A67" s="17" t="s">
        <v>100</v>
      </c>
      <c r="B67" s="17" t="s">
        <v>119</v>
      </c>
      <c r="C67" s="17" t="s">
        <v>52</v>
      </c>
      <c r="D67" s="17" t="s">
        <v>34</v>
      </c>
      <c r="E67" s="18">
        <v>2</v>
      </c>
      <c r="F67" s="19">
        <v>850</v>
      </c>
      <c r="G67" s="18">
        <v>0</v>
      </c>
      <c r="H67" s="19">
        <v>3000</v>
      </c>
      <c r="I67" s="20">
        <f t="shared" si="4"/>
        <v>1700</v>
      </c>
      <c r="J67" s="17" t="str">
        <f t="shared" si="5"/>
        <v>OK</v>
      </c>
    </row>
    <row r="68" spans="1:10" x14ac:dyDescent="0.2">
      <c r="A68" s="4" t="s">
        <v>100</v>
      </c>
      <c r="B68" s="4" t="s">
        <v>120</v>
      </c>
      <c r="C68" s="4" t="s">
        <v>52</v>
      </c>
      <c r="D68" s="4" t="s">
        <v>34</v>
      </c>
      <c r="E68" s="14">
        <v>1</v>
      </c>
      <c r="F68" s="15">
        <v>850</v>
      </c>
      <c r="G68" s="14">
        <v>0</v>
      </c>
      <c r="H68" s="15">
        <v>3000</v>
      </c>
      <c r="I68" s="16">
        <f t="shared" si="4"/>
        <v>850</v>
      </c>
      <c r="J68" s="4" t="str">
        <f t="shared" si="5"/>
        <v>OK</v>
      </c>
    </row>
    <row r="69" spans="1:10" x14ac:dyDescent="0.2">
      <c r="A69" s="17" t="s">
        <v>100</v>
      </c>
      <c r="B69" s="17" t="s">
        <v>121</v>
      </c>
      <c r="C69" s="17" t="s">
        <v>52</v>
      </c>
      <c r="D69" s="17" t="s">
        <v>34</v>
      </c>
      <c r="E69" s="18">
        <v>1</v>
      </c>
      <c r="F69" s="19">
        <v>850</v>
      </c>
      <c r="G69" s="18">
        <v>0</v>
      </c>
      <c r="H69" s="19">
        <v>3000</v>
      </c>
      <c r="I69" s="20">
        <f t="shared" si="4"/>
        <v>850</v>
      </c>
      <c r="J69" s="17" t="str">
        <f t="shared" si="5"/>
        <v>OK</v>
      </c>
    </row>
    <row r="70" spans="1:10" x14ac:dyDescent="0.2">
      <c r="A70" s="4" t="s">
        <v>100</v>
      </c>
      <c r="B70" s="4" t="s">
        <v>122</v>
      </c>
      <c r="C70" s="4" t="s">
        <v>52</v>
      </c>
      <c r="D70" s="4" t="s">
        <v>32</v>
      </c>
      <c r="E70" s="14">
        <v>6.5</v>
      </c>
      <c r="F70" s="15">
        <v>850</v>
      </c>
      <c r="G70" s="14">
        <v>0</v>
      </c>
      <c r="H70" s="15">
        <v>3000</v>
      </c>
      <c r="I70" s="16">
        <f t="shared" si="4"/>
        <v>5525</v>
      </c>
      <c r="J70" s="4" t="str">
        <f t="shared" si="5"/>
        <v>OK</v>
      </c>
    </row>
    <row r="71" spans="1:10" x14ac:dyDescent="0.2">
      <c r="A71" s="17" t="s">
        <v>123</v>
      </c>
      <c r="B71" s="17" t="s">
        <v>101</v>
      </c>
      <c r="C71" s="17" t="s">
        <v>52</v>
      </c>
      <c r="D71" s="17" t="s">
        <v>32</v>
      </c>
      <c r="E71" s="18">
        <v>4</v>
      </c>
      <c r="F71" s="19">
        <v>1350</v>
      </c>
      <c r="G71" s="18">
        <v>1</v>
      </c>
      <c r="H71" s="19">
        <v>3000</v>
      </c>
      <c r="I71" s="20">
        <f t="shared" si="4"/>
        <v>8400</v>
      </c>
      <c r="J71" s="17" t="str">
        <f t="shared" si="5"/>
        <v>OK</v>
      </c>
    </row>
    <row r="72" spans="1:10" x14ac:dyDescent="0.2">
      <c r="A72" s="4" t="s">
        <v>123</v>
      </c>
      <c r="B72" s="4" t="s">
        <v>124</v>
      </c>
      <c r="C72" s="4" t="s">
        <v>52</v>
      </c>
      <c r="D72" s="4" t="s">
        <v>32</v>
      </c>
      <c r="E72" s="14">
        <v>40</v>
      </c>
      <c r="F72" s="15">
        <v>1350</v>
      </c>
      <c r="G72" s="14">
        <v>1</v>
      </c>
      <c r="H72" s="15">
        <v>3000</v>
      </c>
      <c r="I72" s="16">
        <f t="shared" si="4"/>
        <v>57000</v>
      </c>
      <c r="J72" s="4" t="str">
        <f t="shared" si="5"/>
        <v>OK</v>
      </c>
    </row>
    <row r="73" spans="1:10" x14ac:dyDescent="0.2">
      <c r="A73" s="17" t="s">
        <v>123</v>
      </c>
      <c r="B73" s="17" t="s">
        <v>125</v>
      </c>
      <c r="C73" s="17" t="s">
        <v>52</v>
      </c>
      <c r="D73" s="17" t="s">
        <v>32</v>
      </c>
      <c r="E73" s="18">
        <v>40</v>
      </c>
      <c r="F73" s="19">
        <v>1350</v>
      </c>
      <c r="G73" s="18">
        <v>0</v>
      </c>
      <c r="H73" s="19">
        <v>3000</v>
      </c>
      <c r="I73" s="20">
        <f t="shared" si="4"/>
        <v>54000</v>
      </c>
      <c r="J73" s="17" t="str">
        <f t="shared" si="5"/>
        <v>OK</v>
      </c>
    </row>
    <row r="74" spans="1:10" x14ac:dyDescent="0.2">
      <c r="A74" s="4" t="s">
        <v>123</v>
      </c>
      <c r="B74" s="4" t="s">
        <v>126</v>
      </c>
      <c r="C74" s="4" t="s">
        <v>52</v>
      </c>
      <c r="D74" s="4" t="s">
        <v>32</v>
      </c>
      <c r="E74" s="14">
        <v>80</v>
      </c>
      <c r="F74" s="15">
        <v>1350</v>
      </c>
      <c r="G74" s="14">
        <v>0</v>
      </c>
      <c r="H74" s="15">
        <v>3000</v>
      </c>
      <c r="I74" s="16">
        <f t="shared" si="4"/>
        <v>108000</v>
      </c>
      <c r="J74" s="4" t="str">
        <f t="shared" si="5"/>
        <v>OK</v>
      </c>
    </row>
    <row r="75" spans="1:10" x14ac:dyDescent="0.2">
      <c r="A75" s="17" t="s">
        <v>123</v>
      </c>
      <c r="B75" s="17" t="s">
        <v>127</v>
      </c>
      <c r="C75" s="17" t="s">
        <v>52</v>
      </c>
      <c r="D75" s="17" t="s">
        <v>32</v>
      </c>
      <c r="E75" s="18">
        <v>4</v>
      </c>
      <c r="F75" s="19">
        <v>1350</v>
      </c>
      <c r="G75" s="18">
        <v>0</v>
      </c>
      <c r="H75" s="19">
        <v>3000</v>
      </c>
      <c r="I75" s="20">
        <f t="shared" si="4"/>
        <v>5400</v>
      </c>
      <c r="J75" s="17" t="str">
        <f t="shared" si="5"/>
        <v>OK</v>
      </c>
    </row>
    <row r="76" spans="1:10" x14ac:dyDescent="0.2">
      <c r="A76" s="4" t="s">
        <v>123</v>
      </c>
      <c r="B76" s="4" t="s">
        <v>128</v>
      </c>
      <c r="C76" s="4" t="s">
        <v>52</v>
      </c>
      <c r="D76" s="4" t="s">
        <v>33</v>
      </c>
      <c r="E76" s="14">
        <v>40</v>
      </c>
      <c r="F76" s="15">
        <v>1350</v>
      </c>
      <c r="G76" s="14">
        <v>0</v>
      </c>
      <c r="H76" s="15">
        <v>3000</v>
      </c>
      <c r="I76" s="16">
        <f t="shared" si="4"/>
        <v>54000</v>
      </c>
      <c r="J76" s="4" t="str">
        <f t="shared" si="5"/>
        <v>OK</v>
      </c>
    </row>
    <row r="77" spans="1:10" x14ac:dyDescent="0.2">
      <c r="A77" s="17" t="s">
        <v>123</v>
      </c>
      <c r="B77" s="17" t="s">
        <v>129</v>
      </c>
      <c r="C77" s="17" t="s">
        <v>52</v>
      </c>
      <c r="D77" s="17" t="s">
        <v>32</v>
      </c>
      <c r="E77" s="18">
        <v>100</v>
      </c>
      <c r="F77" s="19">
        <v>1350</v>
      </c>
      <c r="G77" s="18">
        <v>0</v>
      </c>
      <c r="H77" s="19">
        <v>3000</v>
      </c>
      <c r="I77" s="20">
        <f t="shared" si="4"/>
        <v>135000</v>
      </c>
      <c r="J77" s="17" t="str">
        <f t="shared" si="5"/>
        <v>OK</v>
      </c>
    </row>
    <row r="78" spans="1:10" x14ac:dyDescent="0.2">
      <c r="A78" s="4" t="s">
        <v>123</v>
      </c>
      <c r="B78" s="4" t="s">
        <v>130</v>
      </c>
      <c r="C78" s="4" t="s">
        <v>52</v>
      </c>
      <c r="D78" s="4" t="s">
        <v>36</v>
      </c>
      <c r="E78" s="14">
        <v>4</v>
      </c>
      <c r="F78" s="15">
        <v>1350</v>
      </c>
      <c r="G78" s="14">
        <v>0</v>
      </c>
      <c r="H78" s="15">
        <v>3000</v>
      </c>
      <c r="I78" s="16">
        <f t="shared" si="4"/>
        <v>5400</v>
      </c>
      <c r="J78" s="4" t="str">
        <f t="shared" si="5"/>
        <v>OK</v>
      </c>
    </row>
    <row r="79" spans="1:10" x14ac:dyDescent="0.2">
      <c r="A79" s="17" t="s">
        <v>123</v>
      </c>
      <c r="B79" s="17" t="s">
        <v>131</v>
      </c>
      <c r="C79" s="17" t="s">
        <v>52</v>
      </c>
      <c r="D79" s="17" t="s">
        <v>37</v>
      </c>
      <c r="E79" s="18">
        <v>2</v>
      </c>
      <c r="F79" s="19">
        <v>1350</v>
      </c>
      <c r="G79" s="18">
        <v>20</v>
      </c>
      <c r="H79" s="19">
        <v>3000</v>
      </c>
      <c r="I79" s="20">
        <f t="shared" si="4"/>
        <v>62700</v>
      </c>
      <c r="J79" s="17" t="str">
        <f t="shared" si="5"/>
        <v>OK</v>
      </c>
    </row>
    <row r="80" spans="1:10" x14ac:dyDescent="0.2">
      <c r="A80" s="4" t="s">
        <v>123</v>
      </c>
      <c r="B80" s="4" t="s">
        <v>132</v>
      </c>
      <c r="C80" s="4" t="s">
        <v>52</v>
      </c>
      <c r="D80" s="4" t="s">
        <v>32</v>
      </c>
      <c r="E80" s="14">
        <v>8</v>
      </c>
      <c r="F80" s="15">
        <v>1350</v>
      </c>
      <c r="G80" s="14">
        <v>0</v>
      </c>
      <c r="H80" s="15">
        <v>3000</v>
      </c>
      <c r="I80" s="16">
        <f t="shared" si="4"/>
        <v>10800</v>
      </c>
      <c r="J80" s="4" t="str">
        <f t="shared" si="5"/>
        <v>OK</v>
      </c>
    </row>
    <row r="81" spans="1:10" x14ac:dyDescent="0.2">
      <c r="A81" s="17" t="s">
        <v>123</v>
      </c>
      <c r="B81" s="17" t="s">
        <v>133</v>
      </c>
      <c r="C81" s="17" t="s">
        <v>52</v>
      </c>
      <c r="D81" s="17" t="s">
        <v>32</v>
      </c>
      <c r="E81" s="18">
        <v>80</v>
      </c>
      <c r="F81" s="19">
        <v>1350</v>
      </c>
      <c r="G81" s="18">
        <v>0</v>
      </c>
      <c r="H81" s="19">
        <v>3000</v>
      </c>
      <c r="I81" s="20">
        <f t="shared" si="4"/>
        <v>108000</v>
      </c>
      <c r="J81" s="17" t="str">
        <f t="shared" si="5"/>
        <v>OK</v>
      </c>
    </row>
    <row r="82" spans="1:10" x14ac:dyDescent="0.2">
      <c r="A82" s="4" t="s">
        <v>134</v>
      </c>
      <c r="B82" s="4" t="s">
        <v>135</v>
      </c>
      <c r="C82" s="4" t="s">
        <v>52</v>
      </c>
      <c r="D82" s="4" t="s">
        <v>36</v>
      </c>
      <c r="E82" s="14">
        <v>0.25</v>
      </c>
      <c r="F82" s="15">
        <v>1100</v>
      </c>
      <c r="G82" s="14">
        <v>0</v>
      </c>
      <c r="H82" s="15">
        <v>3000</v>
      </c>
      <c r="I82" s="16">
        <f t="shared" si="4"/>
        <v>275</v>
      </c>
      <c r="J82" s="4" t="str">
        <f t="shared" si="5"/>
        <v>OK</v>
      </c>
    </row>
    <row r="83" spans="1:10" x14ac:dyDescent="0.2">
      <c r="A83" s="17" t="s">
        <v>134</v>
      </c>
      <c r="B83" s="17" t="s">
        <v>136</v>
      </c>
      <c r="C83" s="17" t="s">
        <v>52</v>
      </c>
      <c r="D83" s="17" t="s">
        <v>36</v>
      </c>
      <c r="E83" s="18">
        <v>0.25</v>
      </c>
      <c r="F83" s="19">
        <v>1100</v>
      </c>
      <c r="G83" s="18">
        <v>0</v>
      </c>
      <c r="H83" s="19">
        <v>3000</v>
      </c>
      <c r="I83" s="20">
        <f t="shared" si="4"/>
        <v>275</v>
      </c>
      <c r="J83" s="17" t="str">
        <f t="shared" si="5"/>
        <v>OK</v>
      </c>
    </row>
    <row r="84" spans="1:10" x14ac:dyDescent="0.2">
      <c r="A84" s="4" t="s">
        <v>134</v>
      </c>
      <c r="B84" s="4" t="s">
        <v>137</v>
      </c>
      <c r="C84" s="4" t="s">
        <v>52</v>
      </c>
      <c r="D84" s="4" t="s">
        <v>33</v>
      </c>
      <c r="E84" s="14">
        <v>10</v>
      </c>
      <c r="F84" s="15">
        <v>1100</v>
      </c>
      <c r="G84" s="14">
        <v>0</v>
      </c>
      <c r="H84" s="15">
        <v>3000</v>
      </c>
      <c r="I84" s="16">
        <f t="shared" si="4"/>
        <v>11000</v>
      </c>
      <c r="J84" s="4" t="str">
        <f t="shared" si="5"/>
        <v>OK</v>
      </c>
    </row>
    <row r="85" spans="1:10" x14ac:dyDescent="0.2">
      <c r="A85" s="17" t="s">
        <v>134</v>
      </c>
      <c r="B85" s="17" t="s">
        <v>138</v>
      </c>
      <c r="C85" s="17" t="s">
        <v>52</v>
      </c>
      <c r="D85" s="17" t="s">
        <v>33</v>
      </c>
      <c r="E85" s="18">
        <v>8</v>
      </c>
      <c r="F85" s="19">
        <v>1100</v>
      </c>
      <c r="G85" s="18">
        <v>0</v>
      </c>
      <c r="H85" s="19">
        <v>3000</v>
      </c>
      <c r="I85" s="20">
        <f t="shared" si="4"/>
        <v>8800</v>
      </c>
      <c r="J85" s="17" t="str">
        <f t="shared" si="5"/>
        <v>OK</v>
      </c>
    </row>
    <row r="86" spans="1:10" x14ac:dyDescent="0.2">
      <c r="A86" s="4" t="s">
        <v>134</v>
      </c>
      <c r="B86" s="4" t="s">
        <v>139</v>
      </c>
      <c r="C86" s="4" t="s">
        <v>52</v>
      </c>
      <c r="D86" s="4" t="s">
        <v>33</v>
      </c>
      <c r="E86" s="14">
        <v>4</v>
      </c>
      <c r="F86" s="15">
        <v>1100</v>
      </c>
      <c r="G86" s="14">
        <v>0</v>
      </c>
      <c r="H86" s="15">
        <v>3000</v>
      </c>
      <c r="I86" s="16">
        <f t="shared" si="4"/>
        <v>4400</v>
      </c>
      <c r="J86" s="4" t="str">
        <f t="shared" si="5"/>
        <v>OK</v>
      </c>
    </row>
    <row r="87" spans="1:10" x14ac:dyDescent="0.2">
      <c r="A87" s="17" t="s">
        <v>134</v>
      </c>
      <c r="B87" s="17" t="s">
        <v>140</v>
      </c>
      <c r="C87" s="17" t="s">
        <v>52</v>
      </c>
      <c r="D87" s="17" t="s">
        <v>33</v>
      </c>
      <c r="E87" s="18">
        <v>20</v>
      </c>
      <c r="F87" s="19">
        <v>1100</v>
      </c>
      <c r="G87" s="18">
        <v>0</v>
      </c>
      <c r="H87" s="19">
        <v>3000</v>
      </c>
      <c r="I87" s="20">
        <f t="shared" si="4"/>
        <v>22000</v>
      </c>
      <c r="J87" s="17" t="str">
        <f t="shared" si="5"/>
        <v>OK</v>
      </c>
    </row>
    <row r="88" spans="1:10" x14ac:dyDescent="0.2">
      <c r="A88" s="4" t="s">
        <v>134</v>
      </c>
      <c r="B88" s="4" t="s">
        <v>141</v>
      </c>
      <c r="C88" s="4" t="s">
        <v>52</v>
      </c>
      <c r="D88" s="4" t="s">
        <v>33</v>
      </c>
      <c r="E88" s="14">
        <v>16</v>
      </c>
      <c r="F88" s="15">
        <v>1100</v>
      </c>
      <c r="G88" s="14">
        <v>0</v>
      </c>
      <c r="H88" s="15">
        <v>3000</v>
      </c>
      <c r="I88" s="16">
        <f t="shared" si="4"/>
        <v>17600</v>
      </c>
      <c r="J88" s="4" t="str">
        <f t="shared" si="5"/>
        <v>OK</v>
      </c>
    </row>
    <row r="89" spans="1:10" x14ac:dyDescent="0.2">
      <c r="A89" s="17" t="s">
        <v>134</v>
      </c>
      <c r="B89" s="17" t="s">
        <v>142</v>
      </c>
      <c r="C89" s="17" t="s">
        <v>52</v>
      </c>
      <c r="D89" s="17" t="s">
        <v>38</v>
      </c>
      <c r="E89" s="18">
        <v>8</v>
      </c>
      <c r="F89" s="19">
        <v>1100</v>
      </c>
      <c r="G89" s="18">
        <v>0</v>
      </c>
      <c r="H89" s="19">
        <v>3000</v>
      </c>
      <c r="I89" s="20">
        <f t="shared" si="4"/>
        <v>8800</v>
      </c>
      <c r="J89" s="17" t="str">
        <f t="shared" si="5"/>
        <v>OK</v>
      </c>
    </row>
    <row r="90" spans="1:10" x14ac:dyDescent="0.2">
      <c r="A90" s="4" t="s">
        <v>134</v>
      </c>
      <c r="B90" s="4" t="s">
        <v>143</v>
      </c>
      <c r="C90" s="4" t="s">
        <v>52</v>
      </c>
      <c r="D90" s="4" t="s">
        <v>38</v>
      </c>
      <c r="E90" s="14">
        <v>16</v>
      </c>
      <c r="F90" s="15">
        <v>1100</v>
      </c>
      <c r="G90" s="14">
        <v>0</v>
      </c>
      <c r="H90" s="15">
        <v>3000</v>
      </c>
      <c r="I90" s="16">
        <f t="shared" si="4"/>
        <v>17600</v>
      </c>
      <c r="J90" s="4" t="str">
        <f t="shared" si="5"/>
        <v>OK</v>
      </c>
    </row>
    <row r="91" spans="1:10" x14ac:dyDescent="0.2">
      <c r="A91" s="17" t="s">
        <v>134</v>
      </c>
      <c r="B91" s="17" t="s">
        <v>144</v>
      </c>
      <c r="C91" s="17" t="s">
        <v>52</v>
      </c>
      <c r="D91" s="17" t="s">
        <v>33</v>
      </c>
      <c r="E91" s="18">
        <v>16</v>
      </c>
      <c r="F91" s="19">
        <v>1100</v>
      </c>
      <c r="G91" s="18">
        <v>0</v>
      </c>
      <c r="H91" s="19">
        <v>3000</v>
      </c>
      <c r="I91" s="20">
        <f t="shared" si="4"/>
        <v>17600</v>
      </c>
      <c r="J91" s="17" t="str">
        <f t="shared" si="5"/>
        <v>OK</v>
      </c>
    </row>
    <row r="92" spans="1:10" x14ac:dyDescent="0.2">
      <c r="A92" s="4" t="s">
        <v>134</v>
      </c>
      <c r="B92" s="4" t="s">
        <v>145</v>
      </c>
      <c r="C92" s="4" t="s">
        <v>52</v>
      </c>
      <c r="D92" s="4" t="s">
        <v>33</v>
      </c>
      <c r="E92" s="14">
        <v>16</v>
      </c>
      <c r="F92" s="15">
        <v>1100</v>
      </c>
      <c r="G92" s="14">
        <v>0</v>
      </c>
      <c r="H92" s="15">
        <v>3000</v>
      </c>
      <c r="I92" s="16">
        <f t="shared" si="4"/>
        <v>17600</v>
      </c>
      <c r="J92" s="4" t="str">
        <f t="shared" si="5"/>
        <v>OK</v>
      </c>
    </row>
    <row r="93" spans="1:10" x14ac:dyDescent="0.2">
      <c r="A93" s="17" t="s">
        <v>134</v>
      </c>
      <c r="B93" s="17" t="s">
        <v>146</v>
      </c>
      <c r="C93" s="17" t="s">
        <v>52</v>
      </c>
      <c r="D93" s="17" t="s">
        <v>38</v>
      </c>
      <c r="E93" s="18">
        <v>5</v>
      </c>
      <c r="F93" s="19">
        <v>1100</v>
      </c>
      <c r="G93" s="18">
        <v>0</v>
      </c>
      <c r="H93" s="19">
        <v>3000</v>
      </c>
      <c r="I93" s="20">
        <f t="shared" si="4"/>
        <v>5500</v>
      </c>
      <c r="J93" s="17" t="str">
        <f t="shared" si="5"/>
        <v>OK</v>
      </c>
    </row>
    <row r="94" spans="1:10" x14ac:dyDescent="0.2">
      <c r="A94" s="4" t="s">
        <v>134</v>
      </c>
      <c r="B94" s="4" t="s">
        <v>147</v>
      </c>
      <c r="C94" s="4" t="s">
        <v>52</v>
      </c>
      <c r="D94" s="4" t="s">
        <v>38</v>
      </c>
      <c r="E94" s="14">
        <v>14</v>
      </c>
      <c r="F94" s="15">
        <v>1100</v>
      </c>
      <c r="G94" s="14">
        <v>0</v>
      </c>
      <c r="H94" s="15">
        <v>3000</v>
      </c>
      <c r="I94" s="16">
        <f t="shared" si="4"/>
        <v>15400</v>
      </c>
      <c r="J94" s="4" t="str">
        <f t="shared" si="5"/>
        <v>OK</v>
      </c>
    </row>
    <row r="95" spans="1:10" x14ac:dyDescent="0.2">
      <c r="A95" s="17" t="s">
        <v>148</v>
      </c>
      <c r="B95" s="17" t="s">
        <v>149</v>
      </c>
      <c r="C95" s="17" t="s">
        <v>52</v>
      </c>
      <c r="D95" s="17" t="s">
        <v>32</v>
      </c>
      <c r="E95" s="18">
        <v>10</v>
      </c>
      <c r="F95" s="19">
        <v>1200</v>
      </c>
      <c r="G95" s="18">
        <v>0</v>
      </c>
      <c r="H95" s="19">
        <v>3000</v>
      </c>
      <c r="I95" s="20">
        <f t="shared" si="4"/>
        <v>12000</v>
      </c>
      <c r="J95" s="17" t="str">
        <f t="shared" si="5"/>
        <v>OK</v>
      </c>
    </row>
    <row r="96" spans="1:10" x14ac:dyDescent="0.2">
      <c r="A96" s="4" t="s">
        <v>148</v>
      </c>
      <c r="B96" s="4" t="s">
        <v>150</v>
      </c>
      <c r="C96" s="4" t="s">
        <v>52</v>
      </c>
      <c r="D96" s="4" t="s">
        <v>32</v>
      </c>
      <c r="E96" s="14">
        <v>10</v>
      </c>
      <c r="F96" s="15">
        <v>1200</v>
      </c>
      <c r="G96" s="14">
        <v>0</v>
      </c>
      <c r="H96" s="15">
        <v>3000</v>
      </c>
      <c r="I96" s="16">
        <f t="shared" si="4"/>
        <v>12000</v>
      </c>
      <c r="J96" s="4" t="str">
        <f t="shared" si="5"/>
        <v>OK</v>
      </c>
    </row>
    <row r="97" spans="1:10" x14ac:dyDescent="0.2">
      <c r="A97" s="17" t="s">
        <v>148</v>
      </c>
      <c r="B97" s="17" t="s">
        <v>151</v>
      </c>
      <c r="C97" s="17" t="s">
        <v>52</v>
      </c>
      <c r="D97" s="17" t="s">
        <v>32</v>
      </c>
      <c r="E97" s="18">
        <v>5</v>
      </c>
      <c r="F97" s="19">
        <v>1200</v>
      </c>
      <c r="G97" s="18">
        <v>0</v>
      </c>
      <c r="H97" s="19">
        <v>3000</v>
      </c>
      <c r="I97" s="20">
        <f t="shared" si="4"/>
        <v>6000</v>
      </c>
      <c r="J97" s="17" t="str">
        <f t="shared" si="5"/>
        <v>OK</v>
      </c>
    </row>
    <row r="98" spans="1:10" x14ac:dyDescent="0.2">
      <c r="A98" s="4" t="s">
        <v>148</v>
      </c>
      <c r="B98" s="4" t="s">
        <v>152</v>
      </c>
      <c r="C98" s="4" t="s">
        <v>52</v>
      </c>
      <c r="D98" s="4" t="s">
        <v>35</v>
      </c>
      <c r="E98" s="14">
        <v>5</v>
      </c>
      <c r="F98" s="15">
        <v>1200</v>
      </c>
      <c r="G98" s="14">
        <v>0</v>
      </c>
      <c r="H98" s="15">
        <v>3000</v>
      </c>
      <c r="I98" s="16">
        <f t="shared" ref="I98:I129" si="6">IFERROR(N(E98)*N(F98)+N(G98)*N(H98),0)</f>
        <v>6000</v>
      </c>
      <c r="J98" s="4" t="str">
        <f t="shared" ref="J98:J129" si="7">IF(N(I98)&gt;0,"OK","RATE NOT SET")</f>
        <v>OK</v>
      </c>
    </row>
    <row r="99" spans="1:10" x14ac:dyDescent="0.2">
      <c r="A99" s="17" t="s">
        <v>148</v>
      </c>
      <c r="B99" s="17" t="s">
        <v>153</v>
      </c>
      <c r="C99" s="17" t="s">
        <v>52</v>
      </c>
      <c r="D99" s="17" t="s">
        <v>35</v>
      </c>
      <c r="E99" s="18">
        <v>10</v>
      </c>
      <c r="F99" s="19">
        <v>1200</v>
      </c>
      <c r="G99" s="18">
        <v>0</v>
      </c>
      <c r="H99" s="19">
        <v>3000</v>
      </c>
      <c r="I99" s="20">
        <f t="shared" si="6"/>
        <v>12000</v>
      </c>
      <c r="J99" s="17" t="str">
        <f t="shared" si="7"/>
        <v>OK</v>
      </c>
    </row>
    <row r="100" spans="1:10" x14ac:dyDescent="0.2">
      <c r="A100" s="4" t="s">
        <v>148</v>
      </c>
      <c r="B100" s="4" t="s">
        <v>154</v>
      </c>
      <c r="C100" s="4" t="s">
        <v>52</v>
      </c>
      <c r="D100" s="4" t="s">
        <v>32</v>
      </c>
      <c r="E100" s="14">
        <v>5</v>
      </c>
      <c r="F100" s="15">
        <v>1200</v>
      </c>
      <c r="G100" s="14">
        <v>0</v>
      </c>
      <c r="H100" s="15">
        <v>3000</v>
      </c>
      <c r="I100" s="16">
        <f t="shared" si="6"/>
        <v>6000</v>
      </c>
      <c r="J100" s="4" t="str">
        <f t="shared" si="7"/>
        <v>OK</v>
      </c>
    </row>
    <row r="101" spans="1:10" x14ac:dyDescent="0.2">
      <c r="A101" s="17" t="s">
        <v>148</v>
      </c>
      <c r="B101" s="17" t="s">
        <v>155</v>
      </c>
      <c r="C101" s="17" t="s">
        <v>52</v>
      </c>
      <c r="D101" s="17" t="s">
        <v>32</v>
      </c>
      <c r="E101" s="18">
        <v>5</v>
      </c>
      <c r="F101" s="19">
        <v>1200</v>
      </c>
      <c r="G101" s="18">
        <v>0</v>
      </c>
      <c r="H101" s="19">
        <v>3000</v>
      </c>
      <c r="I101" s="20">
        <f t="shared" si="6"/>
        <v>6000</v>
      </c>
      <c r="J101" s="17" t="str">
        <f t="shared" si="7"/>
        <v>OK</v>
      </c>
    </row>
    <row r="102" spans="1:10" x14ac:dyDescent="0.2">
      <c r="A102" s="4" t="s">
        <v>156</v>
      </c>
      <c r="B102" s="4" t="s">
        <v>157</v>
      </c>
      <c r="C102" s="4" t="s">
        <v>52</v>
      </c>
      <c r="D102" s="4" t="s">
        <v>32</v>
      </c>
      <c r="E102" s="14"/>
      <c r="F102" s="15">
        <v>1200</v>
      </c>
      <c r="G102" s="14">
        <v>0</v>
      </c>
      <c r="H102" s="15">
        <v>3000</v>
      </c>
      <c r="I102" s="16">
        <f t="shared" si="6"/>
        <v>0</v>
      </c>
      <c r="J102" s="4" t="str">
        <f t="shared" si="7"/>
        <v>RATE NOT SET</v>
      </c>
    </row>
    <row r="103" spans="1:10" x14ac:dyDescent="0.2">
      <c r="A103" s="17" t="s">
        <v>156</v>
      </c>
      <c r="B103" s="17" t="s">
        <v>158</v>
      </c>
      <c r="C103" s="17" t="s">
        <v>52</v>
      </c>
      <c r="D103" s="17" t="s">
        <v>32</v>
      </c>
      <c r="E103" s="18"/>
      <c r="F103" s="19">
        <v>1200</v>
      </c>
      <c r="G103" s="18">
        <v>0</v>
      </c>
      <c r="H103" s="19">
        <v>3000</v>
      </c>
      <c r="I103" s="20">
        <f t="shared" si="6"/>
        <v>0</v>
      </c>
      <c r="J103" s="17" t="str">
        <f t="shared" si="7"/>
        <v>RATE NOT SET</v>
      </c>
    </row>
    <row r="104" spans="1:10" x14ac:dyDescent="0.2">
      <c r="A104" s="4" t="s">
        <v>156</v>
      </c>
      <c r="B104" s="4" t="s">
        <v>159</v>
      </c>
      <c r="C104" s="4" t="s">
        <v>52</v>
      </c>
      <c r="D104" s="4" t="s">
        <v>32</v>
      </c>
      <c r="E104" s="14"/>
      <c r="F104" s="15">
        <v>1200</v>
      </c>
      <c r="G104" s="14">
        <v>0</v>
      </c>
      <c r="H104" s="15">
        <v>3000</v>
      </c>
      <c r="I104" s="16">
        <f t="shared" si="6"/>
        <v>0</v>
      </c>
      <c r="J104" s="4" t="str">
        <f t="shared" si="7"/>
        <v>RATE NOT SET</v>
      </c>
    </row>
    <row r="105" spans="1:10" x14ac:dyDescent="0.2">
      <c r="A105" s="17" t="s">
        <v>156</v>
      </c>
      <c r="B105" s="17" t="s">
        <v>160</v>
      </c>
      <c r="C105" s="17" t="s">
        <v>52</v>
      </c>
      <c r="D105" s="17" t="s">
        <v>32</v>
      </c>
      <c r="E105" s="18"/>
      <c r="F105" s="19">
        <v>1200</v>
      </c>
      <c r="G105" s="18">
        <v>0</v>
      </c>
      <c r="H105" s="19">
        <v>3000</v>
      </c>
      <c r="I105" s="20">
        <f t="shared" si="6"/>
        <v>0</v>
      </c>
      <c r="J105" s="17" t="str">
        <f t="shared" si="7"/>
        <v>RATE NOT SET</v>
      </c>
    </row>
    <row r="106" spans="1:10" x14ac:dyDescent="0.2">
      <c r="A106" s="4" t="s">
        <v>161</v>
      </c>
      <c r="B106" s="4" t="s">
        <v>162</v>
      </c>
      <c r="C106" s="4" t="s">
        <v>163</v>
      </c>
      <c r="D106" s="4" t="s">
        <v>40</v>
      </c>
      <c r="I106" s="15">
        <v>20000</v>
      </c>
      <c r="J106" s="4" t="str">
        <f t="shared" si="7"/>
        <v>OK</v>
      </c>
    </row>
    <row r="107" spans="1:10" x14ac:dyDescent="0.2">
      <c r="A107" s="17" t="s">
        <v>161</v>
      </c>
      <c r="B107" s="17" t="s">
        <v>164</v>
      </c>
      <c r="C107" s="17" t="s">
        <v>163</v>
      </c>
      <c r="D107" s="17" t="s">
        <v>33</v>
      </c>
      <c r="E107" s="21"/>
      <c r="F107" s="21"/>
      <c r="G107" s="21"/>
      <c r="H107" s="21"/>
      <c r="I107" s="19">
        <v>100000</v>
      </c>
      <c r="J107" s="17" t="str">
        <f t="shared" si="7"/>
        <v>OK</v>
      </c>
    </row>
    <row r="108" spans="1:10" x14ac:dyDescent="0.2">
      <c r="A108" s="4" t="s">
        <v>161</v>
      </c>
      <c r="B108" s="4" t="s">
        <v>165</v>
      </c>
      <c r="C108" s="4" t="s">
        <v>163</v>
      </c>
      <c r="D108" s="4" t="s">
        <v>33</v>
      </c>
      <c r="I108" s="15">
        <v>20000</v>
      </c>
      <c r="J108" s="4" t="str">
        <f t="shared" si="7"/>
        <v>OK</v>
      </c>
    </row>
    <row r="109" spans="1:10" x14ac:dyDescent="0.2">
      <c r="A109" s="17" t="s">
        <v>161</v>
      </c>
      <c r="B109" s="17" t="s">
        <v>166</v>
      </c>
      <c r="C109" s="17" t="s">
        <v>163</v>
      </c>
      <c r="D109" s="17" t="s">
        <v>40</v>
      </c>
      <c r="E109" s="21"/>
      <c r="F109" s="21"/>
      <c r="G109" s="21"/>
      <c r="H109" s="21"/>
      <c r="I109" s="19">
        <v>2500</v>
      </c>
      <c r="J109" s="17" t="str">
        <f t="shared" si="7"/>
        <v>OK</v>
      </c>
    </row>
    <row r="110" spans="1:10" x14ac:dyDescent="0.2">
      <c r="A110" s="4" t="s">
        <v>161</v>
      </c>
      <c r="B110" s="4" t="s">
        <v>167</v>
      </c>
      <c r="C110" s="4" t="s">
        <v>163</v>
      </c>
      <c r="D110" s="4" t="s">
        <v>40</v>
      </c>
      <c r="I110" s="15">
        <v>20000</v>
      </c>
      <c r="J110" s="4" t="str">
        <f t="shared" si="7"/>
        <v>OK</v>
      </c>
    </row>
    <row r="111" spans="1:10" x14ac:dyDescent="0.2">
      <c r="A111" s="17" t="s">
        <v>161</v>
      </c>
      <c r="B111" s="17" t="s">
        <v>168</v>
      </c>
      <c r="C111" s="17" t="s">
        <v>163</v>
      </c>
      <c r="D111" s="17" t="s">
        <v>40</v>
      </c>
      <c r="E111" s="21"/>
      <c r="F111" s="21"/>
      <c r="G111" s="21"/>
      <c r="H111" s="21"/>
      <c r="I111" s="19">
        <v>10000</v>
      </c>
      <c r="J111" s="17" t="str">
        <f t="shared" si="7"/>
        <v>OK</v>
      </c>
    </row>
    <row r="112" spans="1:10" x14ac:dyDescent="0.2">
      <c r="A112" s="4" t="s">
        <v>161</v>
      </c>
      <c r="B112" s="4" t="s">
        <v>169</v>
      </c>
      <c r="C112" s="4" t="s">
        <v>163</v>
      </c>
      <c r="D112" s="4" t="s">
        <v>40</v>
      </c>
      <c r="I112" s="15">
        <v>2000</v>
      </c>
      <c r="J112" s="4" t="str">
        <f t="shared" si="7"/>
        <v>OK</v>
      </c>
    </row>
    <row r="113" spans="1:10" x14ac:dyDescent="0.2">
      <c r="A113" s="17" t="s">
        <v>161</v>
      </c>
      <c r="B113" s="17" t="s">
        <v>170</v>
      </c>
      <c r="C113" s="17" t="s">
        <v>163</v>
      </c>
      <c r="D113" s="17" t="s">
        <v>36</v>
      </c>
      <c r="E113" s="21"/>
      <c r="F113" s="21"/>
      <c r="G113" s="21"/>
      <c r="H113" s="21"/>
      <c r="I113" s="19">
        <v>30000</v>
      </c>
      <c r="J113" s="17" t="str">
        <f t="shared" si="7"/>
        <v>OK</v>
      </c>
    </row>
    <row r="114" spans="1:10" x14ac:dyDescent="0.2">
      <c r="A114" s="4" t="s">
        <v>161</v>
      </c>
      <c r="B114" s="4" t="s">
        <v>171</v>
      </c>
      <c r="C114" s="4" t="s">
        <v>163</v>
      </c>
      <c r="D114" s="4" t="s">
        <v>40</v>
      </c>
      <c r="I114" s="15">
        <v>20000</v>
      </c>
      <c r="J114" s="4" t="str">
        <f t="shared" si="7"/>
        <v>OK</v>
      </c>
    </row>
    <row r="115" spans="1:10" x14ac:dyDescent="0.2">
      <c r="A115" s="17" t="s">
        <v>161</v>
      </c>
      <c r="B115" s="17" t="s">
        <v>172</v>
      </c>
      <c r="C115" s="17" t="s">
        <v>163</v>
      </c>
      <c r="D115" s="17" t="s">
        <v>32</v>
      </c>
      <c r="E115" s="21"/>
      <c r="F115" s="21"/>
      <c r="G115" s="21"/>
      <c r="H115" s="21"/>
      <c r="I115" s="19"/>
      <c r="J115" s="17" t="str">
        <f t="shared" si="7"/>
        <v>RATE NOT SET</v>
      </c>
    </row>
    <row r="116" spans="1:10" x14ac:dyDescent="0.2">
      <c r="A116" s="4" t="s">
        <v>161</v>
      </c>
      <c r="B116" s="4" t="s">
        <v>173</v>
      </c>
      <c r="C116" s="4" t="s">
        <v>163</v>
      </c>
      <c r="D116" s="4" t="s">
        <v>39</v>
      </c>
      <c r="I116" s="15">
        <v>4000</v>
      </c>
      <c r="J116" s="4" t="str">
        <f t="shared" si="7"/>
        <v>OK</v>
      </c>
    </row>
    <row r="117" spans="1:10" x14ac:dyDescent="0.2">
      <c r="A117" s="17" t="s">
        <v>161</v>
      </c>
      <c r="B117" s="17" t="s">
        <v>174</v>
      </c>
      <c r="C117" s="17" t="s">
        <v>163</v>
      </c>
      <c r="D117" s="17" t="s">
        <v>39</v>
      </c>
      <c r="E117" s="21"/>
      <c r="F117" s="21"/>
      <c r="G117" s="21"/>
      <c r="H117" s="21"/>
      <c r="I117" s="19"/>
      <c r="J117" s="17" t="str">
        <f t="shared" si="7"/>
        <v>RATE NOT SET</v>
      </c>
    </row>
    <row r="118" spans="1:10" x14ac:dyDescent="0.2">
      <c r="A118" s="4" t="s">
        <v>161</v>
      </c>
      <c r="B118" s="4" t="s">
        <v>175</v>
      </c>
      <c r="C118" s="4" t="s">
        <v>163</v>
      </c>
      <c r="D118" s="4" t="s">
        <v>33</v>
      </c>
      <c r="I118" s="15"/>
      <c r="J118" s="4" t="str">
        <f t="shared" si="7"/>
        <v>RATE NOT SET</v>
      </c>
    </row>
    <row r="119" spans="1:10" x14ac:dyDescent="0.2">
      <c r="A119" s="17" t="s">
        <v>176</v>
      </c>
      <c r="B119" s="17" t="s">
        <v>177</v>
      </c>
      <c r="C119" s="17" t="s">
        <v>163</v>
      </c>
      <c r="D119" s="17" t="s">
        <v>35</v>
      </c>
      <c r="E119" s="21"/>
      <c r="F119" s="21"/>
      <c r="G119" s="21"/>
      <c r="H119" s="21"/>
      <c r="I119" s="19"/>
      <c r="J119" s="17" t="str">
        <f t="shared" si="7"/>
        <v>RATE NOT SET</v>
      </c>
    </row>
    <row r="120" spans="1:10" x14ac:dyDescent="0.2">
      <c r="A120" s="4" t="s">
        <v>176</v>
      </c>
      <c r="B120" s="4" t="s">
        <v>178</v>
      </c>
      <c r="C120" s="4" t="s">
        <v>163</v>
      </c>
      <c r="D120" s="4" t="s">
        <v>32</v>
      </c>
      <c r="I120" s="15"/>
      <c r="J120" s="4" t="str">
        <f t="shared" si="7"/>
        <v>RATE NOT SET</v>
      </c>
    </row>
    <row r="121" spans="1:10" x14ac:dyDescent="0.2">
      <c r="A121" s="17" t="s">
        <v>176</v>
      </c>
      <c r="B121" s="17" t="s">
        <v>179</v>
      </c>
      <c r="C121" s="17" t="s">
        <v>163</v>
      </c>
      <c r="D121" s="17" t="s">
        <v>32</v>
      </c>
      <c r="E121" s="21"/>
      <c r="F121" s="21"/>
      <c r="G121" s="21"/>
      <c r="H121" s="21"/>
      <c r="I121" s="19"/>
      <c r="J121" s="17" t="str">
        <f t="shared" si="7"/>
        <v>RATE NOT SET</v>
      </c>
    </row>
    <row r="122" spans="1:10" x14ac:dyDescent="0.2">
      <c r="A122" s="4" t="s">
        <v>176</v>
      </c>
      <c r="B122" s="4" t="s">
        <v>180</v>
      </c>
      <c r="C122" s="4" t="s">
        <v>163</v>
      </c>
      <c r="D122" s="4" t="s">
        <v>35</v>
      </c>
      <c r="I122" s="15"/>
      <c r="J122" s="4" t="str">
        <f t="shared" si="7"/>
        <v>RATE NOT SET</v>
      </c>
    </row>
    <row r="123" spans="1:10" x14ac:dyDescent="0.2">
      <c r="A123" s="17" t="s">
        <v>176</v>
      </c>
      <c r="B123" s="17" t="s">
        <v>181</v>
      </c>
      <c r="C123" s="17" t="s">
        <v>163</v>
      </c>
      <c r="D123" s="17" t="s">
        <v>35</v>
      </c>
      <c r="E123" s="21"/>
      <c r="F123" s="21"/>
      <c r="G123" s="21"/>
      <c r="H123" s="21"/>
      <c r="I123" s="19"/>
      <c r="J123" s="17" t="str">
        <f t="shared" si="7"/>
        <v>RATE NOT SET</v>
      </c>
    </row>
    <row r="125" spans="1:10" x14ac:dyDescent="0.2">
      <c r="B125" s="2" t="s">
        <v>182</v>
      </c>
    </row>
    <row r="126" spans="1:10" x14ac:dyDescent="0.2">
      <c r="B126" s="2" t="s">
        <v>183</v>
      </c>
    </row>
  </sheetData>
  <autoFilter ref="A1:J123" xr:uid="{00000000-0009-0000-0000-000001000000}"/>
  <conditionalFormatting sqref="J2:J123">
    <cfRule type="cellIs" dxfId="6" priority="1" operator="equal">
      <formula>"RATE NOT SET"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0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0" customWidth="1"/>
    <col min="3" max="3" width="18" customWidth="1"/>
    <col min="4" max="4" width="52" customWidth="1"/>
    <col min="5" max="5" width="18" customWidth="1"/>
    <col min="6" max="6" width="15" customWidth="1"/>
  </cols>
  <sheetData>
    <row r="2" spans="2:4" ht="18" x14ac:dyDescent="0.2">
      <c r="B2" s="1" t="s">
        <v>184</v>
      </c>
    </row>
    <row r="3" spans="2:4" x14ac:dyDescent="0.2">
      <c r="B3" s="2" t="s">
        <v>185</v>
      </c>
    </row>
    <row r="5" spans="2:4" x14ac:dyDescent="0.2">
      <c r="B5" s="4" t="s">
        <v>186</v>
      </c>
      <c r="C5" s="6">
        <f>COUNTIF(Quote!$A$2:$A$123,"x")</f>
        <v>33</v>
      </c>
    </row>
    <row r="6" spans="2:4" x14ac:dyDescent="0.2">
      <c r="B6" s="4" t="s">
        <v>187</v>
      </c>
      <c r="C6" s="32">
        <f>SUMIFS(Quote!$L$2:$L$123,Quote!$D$2:$D$123,"Service")</f>
        <v>3806350</v>
      </c>
      <c r="D6" s="2" t="s">
        <v>188</v>
      </c>
    </row>
    <row r="7" spans="2:4" x14ac:dyDescent="0.2">
      <c r="B7" s="4" t="s">
        <v>189</v>
      </c>
      <c r="C7" s="32">
        <f>SUMIFS(Quote!$K$2:$K$123,Quote!$D$2:$D$123,"Service")</f>
        <v>4912119</v>
      </c>
      <c r="D7" s="2" t="s">
        <v>190</v>
      </c>
    </row>
    <row r="8" spans="2:4" x14ac:dyDescent="0.2">
      <c r="B8" s="4" t="s">
        <v>191</v>
      </c>
      <c r="C8" s="32">
        <f>C7-C6</f>
        <v>1105769</v>
      </c>
      <c r="D8" s="2" t="s">
        <v>192</v>
      </c>
    </row>
    <row r="9" spans="2:4" x14ac:dyDescent="0.2">
      <c r="B9" s="4" t="s">
        <v>193</v>
      </c>
      <c r="C9" s="32">
        <f>-C7*Discount</f>
        <v>0</v>
      </c>
      <c r="D9" s="2" t="s">
        <v>194</v>
      </c>
    </row>
    <row r="10" spans="2:4" x14ac:dyDescent="0.2">
      <c r="B10" s="4" t="s">
        <v>195</v>
      </c>
      <c r="C10" s="32">
        <f>C7+C9</f>
        <v>4912119</v>
      </c>
      <c r="D10" s="2" t="s">
        <v>196</v>
      </c>
    </row>
    <row r="11" spans="2:4" x14ac:dyDescent="0.2">
      <c r="B11" s="4" t="s">
        <v>197</v>
      </c>
      <c r="C11" s="32">
        <f>SUMIFS(Quote!$L$2:$L$123,Quote!$D$2:$D$123,"Pass-through")</f>
        <v>100000</v>
      </c>
      <c r="D11" s="2" t="s">
        <v>198</v>
      </c>
    </row>
    <row r="12" spans="2:4" ht="17" x14ac:dyDescent="0.2">
      <c r="B12" s="3" t="s">
        <v>199</v>
      </c>
      <c r="C12" s="33">
        <f>C10+C11</f>
        <v>5012119</v>
      </c>
      <c r="D12" s="2" t="s">
        <v>200</v>
      </c>
    </row>
    <row r="13" spans="2:4" ht="17" x14ac:dyDescent="0.2">
      <c r="B13" s="3" t="s">
        <v>201</v>
      </c>
      <c r="C13" s="34">
        <f>IF(C10=0,0,(C10-C6)/C10)</f>
        <v>0.22511038515149978</v>
      </c>
      <c r="D13" s="2" t="s">
        <v>202</v>
      </c>
    </row>
    <row r="14" spans="2:4" x14ac:dyDescent="0.2">
      <c r="B14" s="4" t="s">
        <v>203</v>
      </c>
      <c r="C14" s="9">
        <f>IF(C6=0,0,(C7-C6)/C6)</f>
        <v>0.2905063906366992</v>
      </c>
      <c r="D14" s="2" t="s">
        <v>204</v>
      </c>
    </row>
    <row r="15" spans="2:4" x14ac:dyDescent="0.2">
      <c r="B15" s="4" t="s">
        <v>205</v>
      </c>
      <c r="C15" s="6">
        <f>SUM(Quote!M2:M123)</f>
        <v>3984</v>
      </c>
    </row>
    <row r="16" spans="2:4" x14ac:dyDescent="0.2">
      <c r="B16" s="4" t="s">
        <v>206</v>
      </c>
      <c r="C16" s="6">
        <f>SUM(Quote!N2:N123)</f>
        <v>73.5</v>
      </c>
    </row>
    <row r="19" spans="2:6" x14ac:dyDescent="0.2">
      <c r="B19" s="3" t="s">
        <v>207</v>
      </c>
    </row>
    <row r="20" spans="2:6" x14ac:dyDescent="0.2">
      <c r="B20" s="35" t="s">
        <v>41</v>
      </c>
      <c r="C20" s="35" t="s">
        <v>208</v>
      </c>
      <c r="D20" s="35" t="s">
        <v>209</v>
      </c>
      <c r="E20" s="35" t="s">
        <v>210</v>
      </c>
      <c r="F20" s="35" t="s">
        <v>211</v>
      </c>
    </row>
    <row r="21" spans="2:6" x14ac:dyDescent="0.2">
      <c r="B21" s="4" t="s">
        <v>50</v>
      </c>
      <c r="C21" s="4">
        <f>COUNTIFS(Quote!$A$2:$A$123,"x",Quote!$B$2:$B$123,$B21)</f>
        <v>8</v>
      </c>
      <c r="D21" s="16">
        <f>SUMIFS(Quote!$L$2:$L$123,Quote!$B$2:$B$123,$B21)</f>
        <v>360625</v>
      </c>
      <c r="E21" s="16">
        <f>SUMIFS(Quote!$K$2:$K$123,Quote!$B$2:$B$123,$B21)</f>
        <v>465323</v>
      </c>
      <c r="F21" s="27">
        <f t="shared" ref="F21:F29" si="0">IF($E$30=0,0,E21/$E$30)</f>
        <v>9.2839575437055663E-2</v>
      </c>
    </row>
    <row r="22" spans="2:6" x14ac:dyDescent="0.2">
      <c r="B22" s="17" t="s">
        <v>77</v>
      </c>
      <c r="C22" s="17">
        <f>COUNTIFS(Quote!$A$2:$A$123,"x",Quote!$B$2:$B$123,$B22)</f>
        <v>10</v>
      </c>
      <c r="D22" s="20">
        <f>SUMIFS(Quote!$L$2:$L$123,Quote!$B$2:$B$123,$B22)</f>
        <v>133300</v>
      </c>
      <c r="E22" s="20">
        <f>SUMIFS(Quote!$K$2:$K$123,Quote!$B$2:$B$123,$B22)</f>
        <v>172005</v>
      </c>
      <c r="F22" s="31">
        <f t="shared" si="0"/>
        <v>3.4317820466752684E-2</v>
      </c>
    </row>
    <row r="23" spans="2:6" x14ac:dyDescent="0.2">
      <c r="B23" s="4" t="s">
        <v>100</v>
      </c>
      <c r="C23" s="4">
        <f>COUNTIFS(Quote!$A$2:$A$123,"x",Quote!$B$2:$B$123,$B23)</f>
        <v>8</v>
      </c>
      <c r="D23" s="16">
        <f>SUMIFS(Quote!$L$2:$L$123,Quote!$B$2:$B$123,$B23)</f>
        <v>2794025</v>
      </c>
      <c r="E23" s="16">
        <f>SUMIFS(Quote!$K$2:$K$123,Quote!$B$2:$B$123,$B23)</f>
        <v>3605872</v>
      </c>
      <c r="F23" s="27">
        <f t="shared" si="0"/>
        <v>0.71943064400506052</v>
      </c>
    </row>
    <row r="24" spans="2:6" x14ac:dyDescent="0.2">
      <c r="B24" s="17" t="s">
        <v>123</v>
      </c>
      <c r="C24" s="17">
        <f>COUNTIFS(Quote!$A$2:$A$123,"x",Quote!$B$2:$B$123,$B24)</f>
        <v>4</v>
      </c>
      <c r="D24" s="20">
        <f>SUMIFS(Quote!$L$2:$L$123,Quote!$B$2:$B$123,$B24)</f>
        <v>494400</v>
      </c>
      <c r="E24" s="20">
        <f>SUMIFS(Quote!$K$2:$K$123,Quote!$B$2:$B$123,$B24)</f>
        <v>637951</v>
      </c>
      <c r="F24" s="31">
        <f t="shared" si="0"/>
        <v>0.12728169462855929</v>
      </c>
    </row>
    <row r="25" spans="2:6" x14ac:dyDescent="0.2">
      <c r="B25" s="4" t="s">
        <v>134</v>
      </c>
      <c r="C25" s="4">
        <f>COUNTIFS(Quote!$A$2:$A$123,"x",Quote!$B$2:$B$123,$B25)</f>
        <v>0</v>
      </c>
      <c r="D25" s="16">
        <f>SUMIFS(Quote!$L$2:$L$123,Quote!$B$2:$B$123,$B25)</f>
        <v>0</v>
      </c>
      <c r="E25" s="16">
        <f>SUMIFS(Quote!$K$2:$K$123,Quote!$B$2:$B$123,$B25)</f>
        <v>0</v>
      </c>
      <c r="F25" s="27">
        <f t="shared" si="0"/>
        <v>0</v>
      </c>
    </row>
    <row r="26" spans="2:6" x14ac:dyDescent="0.2">
      <c r="B26" s="17" t="s">
        <v>148</v>
      </c>
      <c r="C26" s="17">
        <f>COUNTIFS(Quote!$A$2:$A$123,"x",Quote!$B$2:$B$123,$B26)</f>
        <v>2</v>
      </c>
      <c r="D26" s="20">
        <f>SUMIFS(Quote!$L$2:$L$123,Quote!$B$2:$B$123,$B26)</f>
        <v>24000</v>
      </c>
      <c r="E26" s="20">
        <f>SUMIFS(Quote!$K$2:$K$123,Quote!$B$2:$B$123,$B26)</f>
        <v>30968</v>
      </c>
      <c r="F26" s="31">
        <f t="shared" si="0"/>
        <v>6.1786242505415378E-3</v>
      </c>
    </row>
    <row r="27" spans="2:6" x14ac:dyDescent="0.2">
      <c r="B27" s="4" t="s">
        <v>156</v>
      </c>
      <c r="C27" s="4">
        <f>COUNTIFS(Quote!$A$2:$A$123,"x",Quote!$B$2:$B$123,$B27)</f>
        <v>0</v>
      </c>
      <c r="D27" s="16">
        <f>SUMIFS(Quote!$L$2:$L$123,Quote!$B$2:$B$123,$B27)</f>
        <v>0</v>
      </c>
      <c r="E27" s="16">
        <f>SUMIFS(Quote!$K$2:$K$123,Quote!$B$2:$B$123,$B27)</f>
        <v>0</v>
      </c>
      <c r="F27" s="27">
        <f t="shared" si="0"/>
        <v>0</v>
      </c>
    </row>
    <row r="28" spans="2:6" x14ac:dyDescent="0.2">
      <c r="B28" s="17" t="s">
        <v>161</v>
      </c>
      <c r="C28" s="17">
        <f>COUNTIFS(Quote!$A$2:$A$123,"x",Quote!$B$2:$B$123,$B28)</f>
        <v>1</v>
      </c>
      <c r="D28" s="20">
        <f>SUMIFS(Quote!$L$2:$L$123,Quote!$B$2:$B$123,$B28)</f>
        <v>100000</v>
      </c>
      <c r="E28" s="20">
        <f>SUMIFS(Quote!$K$2:$K$123,Quote!$B$2:$B$123,$B28)</f>
        <v>100000</v>
      </c>
      <c r="F28" s="31">
        <f t="shared" si="0"/>
        <v>1.9951641212030281E-2</v>
      </c>
    </row>
    <row r="29" spans="2:6" x14ac:dyDescent="0.2">
      <c r="B29" s="4" t="s">
        <v>176</v>
      </c>
      <c r="C29" s="4">
        <f>COUNTIFS(Quote!$A$2:$A$123,"x",Quote!$B$2:$B$123,$B29)</f>
        <v>0</v>
      </c>
      <c r="D29" s="16">
        <f>SUMIFS(Quote!$L$2:$L$123,Quote!$B$2:$B$123,$B29)</f>
        <v>0</v>
      </c>
      <c r="E29" s="16">
        <f>SUMIFS(Quote!$K$2:$K$123,Quote!$B$2:$B$123,$B29)</f>
        <v>0</v>
      </c>
      <c r="F29" s="27">
        <f t="shared" si="0"/>
        <v>0</v>
      </c>
    </row>
    <row r="30" spans="2:6" x14ac:dyDescent="0.2">
      <c r="B30" s="3" t="s">
        <v>212</v>
      </c>
      <c r="C30" s="36">
        <f>SUM(C21:C29)</f>
        <v>33</v>
      </c>
      <c r="D30" s="37">
        <f>SUM(D21:D29)</f>
        <v>3906350</v>
      </c>
      <c r="E30" s="37">
        <f>SUM(E21:E29)</f>
        <v>5012119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9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52" customWidth="1"/>
    <col min="4" max="4" width="18" customWidth="1"/>
    <col min="5" max="5" width="12" customWidth="1"/>
  </cols>
  <sheetData>
    <row r="2" spans="2:5" ht="18" x14ac:dyDescent="0.2">
      <c r="B2" s="1" t="s">
        <v>213</v>
      </c>
    </row>
    <row r="3" spans="2:5" x14ac:dyDescent="0.2">
      <c r="B3" s="2" t="s">
        <v>214</v>
      </c>
    </row>
    <row r="5" spans="2:5" x14ac:dyDescent="0.2">
      <c r="B5" s="35" t="s">
        <v>215</v>
      </c>
      <c r="C5" s="35" t="s">
        <v>216</v>
      </c>
      <c r="D5" s="35" t="s">
        <v>217</v>
      </c>
      <c r="E5" s="35" t="s">
        <v>218</v>
      </c>
    </row>
    <row r="6" spans="2:5" x14ac:dyDescent="0.2">
      <c r="B6" s="4">
        <v>1</v>
      </c>
      <c r="C6" s="4" t="s">
        <v>219</v>
      </c>
      <c r="D6" s="38">
        <f>ROUND(SUMIFS(Quote!$K$2:$K$123,Quote!$D$2:$D$123,"Service")-Summary!C7,2)</f>
        <v>0</v>
      </c>
      <c r="E6" s="39" t="str">
        <f>IF(D6=0,"OK","FAIL")</f>
        <v>OK</v>
      </c>
    </row>
    <row r="7" spans="2:5" x14ac:dyDescent="0.2">
      <c r="B7" s="17">
        <v>2</v>
      </c>
      <c r="C7" s="17" t="s">
        <v>220</v>
      </c>
      <c r="D7" s="40">
        <f>SUMPRODUCT(--(ROUND(Quote!$F$2:$F$123*Quote!$J$2:$J$123,2)&lt;&gt;ROUND(Quote!$K$2:$K$123,2)))</f>
        <v>0</v>
      </c>
      <c r="E7" s="41" t="str">
        <f>IF(D7=0,"OK","FAIL")</f>
        <v>OK</v>
      </c>
    </row>
    <row r="8" spans="2:5" x14ac:dyDescent="0.2">
      <c r="B8" s="4">
        <v>3</v>
      </c>
      <c r="C8" s="4" t="s">
        <v>221</v>
      </c>
      <c r="D8" s="9">
        <f>Summary!C13-MarginFloor</f>
        <v>1.1038515149977557E-4</v>
      </c>
      <c r="E8" s="39" t="str">
        <f>IF(D8&gt;=-0.0005,"OK","FAIL")</f>
        <v>OK</v>
      </c>
    </row>
    <row r="9" spans="2:5" x14ac:dyDescent="0.2">
      <c r="B9" s="17">
        <v>4</v>
      </c>
      <c r="C9" s="17" t="s">
        <v>222</v>
      </c>
      <c r="D9" s="42">
        <f>MarginLever-MarginFloor</f>
        <v>0</v>
      </c>
      <c r="E9" s="41" t="str">
        <f>IF(D9&gt;=0,"OK","FAIL")</f>
        <v>OK</v>
      </c>
    </row>
    <row r="10" spans="2:5" x14ac:dyDescent="0.2">
      <c r="B10" s="4">
        <v>5</v>
      </c>
      <c r="C10" s="4" t="s">
        <v>223</v>
      </c>
      <c r="D10" s="6">
        <f>COUNTIFS(Quote!$A$2:$A$123,"x",Quote!$G$2:$G$123,0)</f>
        <v>0</v>
      </c>
      <c r="E10" s="39" t="str">
        <f>IF(D10=0,"OK","FAIL")</f>
        <v>OK</v>
      </c>
    </row>
    <row r="11" spans="2:5" x14ac:dyDescent="0.2">
      <c r="B11" s="17">
        <v>6</v>
      </c>
      <c r="C11" s="17" t="s">
        <v>224</v>
      </c>
      <c r="D11" s="40">
        <f>COUNTIFS(Quote!$A$2:$A$123,"x",Quote!$F$2:$F$123,0)</f>
        <v>0</v>
      </c>
      <c r="E11" s="41" t="str">
        <f>IF(D11=0,"OK","REVIEW")</f>
        <v>OK</v>
      </c>
    </row>
    <row r="12" spans="2:5" x14ac:dyDescent="0.2">
      <c r="B12" s="4">
        <v>7</v>
      </c>
      <c r="C12" s="4" t="s">
        <v>225</v>
      </c>
      <c r="D12" s="6">
        <f>SUMPRODUCT(--(Quote!$H$2:$H$123&lt;&gt;""),--(Quote!$H$2:$H$123&lt;MarginFloor))</f>
        <v>0</v>
      </c>
      <c r="E12" s="39" t="str">
        <f>IF(D12=0,"OK","FAIL")</f>
        <v>OK</v>
      </c>
    </row>
    <row r="13" spans="2:5" x14ac:dyDescent="0.2">
      <c r="B13" s="17">
        <v>8</v>
      </c>
      <c r="C13" s="17" t="s">
        <v>226</v>
      </c>
      <c r="D13" s="40">
        <f>SUMPRODUCT(--(Quote!$D$2:$D$123="Pass-through"),--(Quote!$I$2:$I$123&gt;0))</f>
        <v>0</v>
      </c>
      <c r="E13" s="41" t="str">
        <f>IF(D13=0,"OK","FAIL")</f>
        <v>OK</v>
      </c>
    </row>
    <row r="14" spans="2:5" x14ac:dyDescent="0.2">
      <c r="B14" s="4">
        <v>9</v>
      </c>
      <c r="C14" s="4" t="s">
        <v>227</v>
      </c>
      <c r="D14" s="6">
        <f>SUMPRODUCT(--(Quote!$A$2:$A$123="x"),--(Quote!$D$2:$D$123="Service"),--(Quote!$I$2:$I$123&lt;&gt;MarginLever))</f>
        <v>0</v>
      </c>
      <c r="E14" s="39" t="str">
        <f>IF(D14=0,"OK","REVIEW")</f>
        <v>OK</v>
      </c>
    </row>
    <row r="15" spans="2:5" x14ac:dyDescent="0.2">
      <c r="B15" s="17">
        <v>10</v>
      </c>
      <c r="C15" s="17" t="s">
        <v>228</v>
      </c>
      <c r="D15" s="40">
        <f>IF(Summary!C13&lt;MarginFloor-0.0005,1,0)</f>
        <v>0</v>
      </c>
      <c r="E15" s="41" t="str">
        <f>IF(D15=0,"OK","FAIL")</f>
        <v>OK</v>
      </c>
    </row>
    <row r="18" spans="3:3" x14ac:dyDescent="0.2">
      <c r="C18" s="2" t="s">
        <v>229</v>
      </c>
    </row>
    <row r="19" spans="3:3" x14ac:dyDescent="0.2">
      <c r="C19" s="2" t="s">
        <v>230</v>
      </c>
    </row>
  </sheetData>
  <conditionalFormatting sqref="E6:E15">
    <cfRule type="cellIs" dxfId="5" priority="1" operator="equal">
      <formula>"OK"</formula>
    </cfRule>
    <cfRule type="cellIs" dxfId="4" priority="2" operator="equal">
      <formula>"FAIL"</formula>
    </cfRule>
    <cfRule type="cellIs" dxfId="3" priority="3" operator="equal">
      <formula>"REVIEW"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58" customWidth="1"/>
    <col min="4" max="4" width="13" customWidth="1"/>
    <col min="5" max="5" width="20" customWidth="1"/>
    <col min="6" max="6" width="10" customWidth="1"/>
    <col min="7" max="7" width="13" customWidth="1"/>
    <col min="8" max="9" width="12" customWidth="1"/>
    <col min="10" max="10" width="13" customWidth="1"/>
    <col min="11" max="12" width="14" customWidth="1"/>
    <col min="13" max="14" width="11" customWidth="1"/>
  </cols>
  <sheetData>
    <row r="1" spans="1:14" ht="27" x14ac:dyDescent="0.2">
      <c r="A1" s="22" t="s">
        <v>231</v>
      </c>
      <c r="B1" s="12" t="s">
        <v>41</v>
      </c>
      <c r="C1" s="12" t="s">
        <v>232</v>
      </c>
      <c r="D1" s="12" t="s">
        <v>43</v>
      </c>
      <c r="E1" s="12" t="s">
        <v>30</v>
      </c>
      <c r="F1" s="13" t="s">
        <v>233</v>
      </c>
      <c r="G1" s="13" t="s">
        <v>48</v>
      </c>
      <c r="H1" s="13" t="s">
        <v>234</v>
      </c>
      <c r="I1" s="13" t="s">
        <v>235</v>
      </c>
      <c r="J1" s="13" t="s">
        <v>236</v>
      </c>
      <c r="K1" s="13" t="s">
        <v>237</v>
      </c>
      <c r="L1" s="13" t="s">
        <v>238</v>
      </c>
      <c r="M1" s="13" t="s">
        <v>44</v>
      </c>
      <c r="N1" s="13" t="s">
        <v>46</v>
      </c>
    </row>
    <row r="2" spans="1:14" x14ac:dyDescent="0.2">
      <c r="A2" s="23" t="s">
        <v>239</v>
      </c>
      <c r="B2" s="24" t="str">
        <f>'Rate Card'!A2</f>
        <v>Medical</v>
      </c>
      <c r="C2" s="24" t="str">
        <f>'Rate Card'!B2</f>
        <v>Concept Note Writing</v>
      </c>
      <c r="D2" s="24" t="str">
        <f>'Rate Card'!C2</f>
        <v>Service</v>
      </c>
      <c r="E2" s="24" t="str">
        <f>'Rate Card'!D2</f>
        <v>Fixed</v>
      </c>
      <c r="F2" s="25">
        <f t="shared" ref="F2:F33" si="0">IF($A2="x",IFERROR(INDEX(DriverQty,MATCH($E2,DriverName,0)),0),0)</f>
        <v>1</v>
      </c>
      <c r="G2" s="26">
        <f>'Rate Card'!I2</f>
        <v>30200</v>
      </c>
      <c r="H2" s="8"/>
      <c r="I2" s="27">
        <f t="shared" ref="I2:I33" si="1">IF($D2="Pass-through",0,MAX(MarginFloor,IF($H2="",MarginLever,$H2)))</f>
        <v>0.22500000000000001</v>
      </c>
      <c r="J2" s="16">
        <f t="shared" ref="J2:J33" si="2">IF($D2="Pass-through",$G2,IF($I2&gt;=1,$G2,ROUND($G2/(1-$I2),0)))</f>
        <v>38968</v>
      </c>
      <c r="K2" s="16">
        <f t="shared" ref="K2:K33" si="3">$F2*$J2</f>
        <v>38968</v>
      </c>
      <c r="L2" s="16">
        <f t="shared" ref="L2:L33" si="4">$F2*$G2</f>
        <v>30200</v>
      </c>
      <c r="M2" s="25">
        <f>$F2*N('Rate Card'!E2)</f>
        <v>16</v>
      </c>
      <c r="N2" s="25">
        <f>$F2*N('Rate Card'!G2)</f>
        <v>5</v>
      </c>
    </row>
    <row r="3" spans="1:14" x14ac:dyDescent="0.2">
      <c r="A3" s="23" t="s">
        <v>239</v>
      </c>
      <c r="B3" s="28" t="str">
        <f>'Rate Card'!A3</f>
        <v>Medical</v>
      </c>
      <c r="C3" s="28" t="str">
        <f>'Rate Card'!B3</f>
        <v>Literature Review/Search (Can vary based on Scope and extent of data)</v>
      </c>
      <c r="D3" s="28" t="str">
        <f>'Rate Card'!C3</f>
        <v>Service</v>
      </c>
      <c r="E3" s="28" t="str">
        <f>'Rate Card'!D3</f>
        <v>Fixed</v>
      </c>
      <c r="F3" s="29">
        <f t="shared" si="0"/>
        <v>1</v>
      </c>
      <c r="G3" s="30">
        <f>'Rate Card'!I3</f>
        <v>34800</v>
      </c>
      <c r="H3" s="8"/>
      <c r="I3" s="31">
        <f t="shared" si="1"/>
        <v>0.22500000000000001</v>
      </c>
      <c r="J3" s="20">
        <f t="shared" si="2"/>
        <v>44903</v>
      </c>
      <c r="K3" s="20">
        <f t="shared" si="3"/>
        <v>44903</v>
      </c>
      <c r="L3" s="20">
        <f t="shared" si="4"/>
        <v>34800</v>
      </c>
      <c r="M3" s="29">
        <f>$F3*N('Rate Card'!E3)</f>
        <v>24</v>
      </c>
      <c r="N3" s="29">
        <f>$F3*N('Rate Card'!G3)</f>
        <v>4</v>
      </c>
    </row>
    <row r="4" spans="1:14" x14ac:dyDescent="0.2">
      <c r="A4" s="23" t="s">
        <v>239</v>
      </c>
      <c r="B4" s="24" t="str">
        <f>'Rate Card'!A4</f>
        <v>Medical</v>
      </c>
      <c r="C4" s="24" t="str">
        <f>'Rate Card'!B4</f>
        <v>Protocol Writing -Post Marketing/RWE</v>
      </c>
      <c r="D4" s="24" t="str">
        <f>'Rate Card'!C4</f>
        <v>Service</v>
      </c>
      <c r="E4" s="24" t="str">
        <f>'Rate Card'!D4</f>
        <v>Fixed</v>
      </c>
      <c r="F4" s="25">
        <f t="shared" si="0"/>
        <v>1</v>
      </c>
      <c r="G4" s="26">
        <f>'Rate Card'!I4</f>
        <v>120500</v>
      </c>
      <c r="H4" s="8"/>
      <c r="I4" s="27">
        <f t="shared" si="1"/>
        <v>0.22500000000000001</v>
      </c>
      <c r="J4" s="16">
        <f t="shared" si="2"/>
        <v>155484</v>
      </c>
      <c r="K4" s="16">
        <f t="shared" si="3"/>
        <v>155484</v>
      </c>
      <c r="L4" s="16">
        <f t="shared" si="4"/>
        <v>120500</v>
      </c>
      <c r="M4" s="25">
        <f>$F4*N('Rate Card'!E4)</f>
        <v>70</v>
      </c>
      <c r="N4" s="25">
        <f>$F4*N('Rate Card'!G4)</f>
        <v>18</v>
      </c>
    </row>
    <row r="5" spans="1:14" x14ac:dyDescent="0.2">
      <c r="A5" s="23"/>
      <c r="B5" s="28" t="str">
        <f>'Rate Card'!A5</f>
        <v>Medical</v>
      </c>
      <c r="C5" s="28" t="str">
        <f>'Rate Card'!B5</f>
        <v>Protocol Writing -Phase 4</v>
      </c>
      <c r="D5" s="28" t="str">
        <f>'Rate Card'!C5</f>
        <v>Service</v>
      </c>
      <c r="E5" s="28" t="str">
        <f>'Rate Card'!D5</f>
        <v>Fixed</v>
      </c>
      <c r="F5" s="29">
        <f t="shared" si="0"/>
        <v>0</v>
      </c>
      <c r="G5" s="30">
        <f>'Rate Card'!I5</f>
        <v>120500</v>
      </c>
      <c r="H5" s="8"/>
      <c r="I5" s="31">
        <f t="shared" si="1"/>
        <v>0.22500000000000001</v>
      </c>
      <c r="J5" s="20">
        <f t="shared" si="2"/>
        <v>155484</v>
      </c>
      <c r="K5" s="20">
        <f t="shared" si="3"/>
        <v>0</v>
      </c>
      <c r="L5" s="20">
        <f t="shared" si="4"/>
        <v>0</v>
      </c>
      <c r="M5" s="29">
        <f>$F5*N('Rate Card'!E5)</f>
        <v>0</v>
      </c>
      <c r="N5" s="29">
        <f>$F5*N('Rate Card'!G5)</f>
        <v>0</v>
      </c>
    </row>
    <row r="6" spans="1:14" x14ac:dyDescent="0.2">
      <c r="A6" s="23" t="s">
        <v>239</v>
      </c>
      <c r="B6" s="24" t="str">
        <f>'Rate Card'!A6</f>
        <v>Medical</v>
      </c>
      <c r="C6" s="24" t="str">
        <f>'Rate Card'!B6</f>
        <v>ICD (n=1; English)</v>
      </c>
      <c r="D6" s="24" t="str">
        <f>'Rate Card'!C6</f>
        <v>Service</v>
      </c>
      <c r="E6" s="24" t="str">
        <f>'Rate Card'!D6</f>
        <v>Fixed</v>
      </c>
      <c r="F6" s="25">
        <f t="shared" si="0"/>
        <v>1</v>
      </c>
      <c r="G6" s="26">
        <f>'Rate Card'!I6</f>
        <v>29100</v>
      </c>
      <c r="H6" s="8"/>
      <c r="I6" s="27">
        <f t="shared" si="1"/>
        <v>0.22500000000000001</v>
      </c>
      <c r="J6" s="16">
        <f t="shared" si="2"/>
        <v>37548</v>
      </c>
      <c r="K6" s="16">
        <f t="shared" si="3"/>
        <v>37548</v>
      </c>
      <c r="L6" s="16">
        <f t="shared" si="4"/>
        <v>29100</v>
      </c>
      <c r="M6" s="25">
        <f>$F6*N('Rate Card'!E6)</f>
        <v>18</v>
      </c>
      <c r="N6" s="25">
        <f>$F6*N('Rate Card'!G6)</f>
        <v>4</v>
      </c>
    </row>
    <row r="7" spans="1:14" x14ac:dyDescent="0.2">
      <c r="A7" s="23"/>
      <c r="B7" s="28" t="str">
        <f>'Rate Card'!A7</f>
        <v>Medical</v>
      </c>
      <c r="C7" s="28" t="str">
        <f>'Rate Card'!B7</f>
        <v>ICD + Ascent (n=1; English)</v>
      </c>
      <c r="D7" s="28" t="str">
        <f>'Rate Card'!C7</f>
        <v>Service</v>
      </c>
      <c r="E7" s="28" t="str">
        <f>'Rate Card'!D7</f>
        <v>Fixed</v>
      </c>
      <c r="F7" s="29">
        <f t="shared" si="0"/>
        <v>0</v>
      </c>
      <c r="G7" s="30">
        <f>'Rate Card'!I7</f>
        <v>30800</v>
      </c>
      <c r="H7" s="8"/>
      <c r="I7" s="31">
        <f t="shared" si="1"/>
        <v>0.22500000000000001</v>
      </c>
      <c r="J7" s="20">
        <f t="shared" si="2"/>
        <v>39742</v>
      </c>
      <c r="K7" s="20">
        <f t="shared" si="3"/>
        <v>0</v>
      </c>
      <c r="L7" s="20">
        <f t="shared" si="4"/>
        <v>0</v>
      </c>
      <c r="M7" s="29">
        <f>$F7*N('Rate Card'!E7)</f>
        <v>0</v>
      </c>
      <c r="N7" s="29">
        <f>$F7*N('Rate Card'!G7)</f>
        <v>0</v>
      </c>
    </row>
    <row r="8" spans="1:14" x14ac:dyDescent="0.2">
      <c r="A8" s="23" t="s">
        <v>239</v>
      </c>
      <c r="B8" s="24" t="str">
        <f>'Rate Card'!A8</f>
        <v>Medical</v>
      </c>
      <c r="C8" s="24" t="str">
        <f>'Rate Card'!B8</f>
        <v>Data variable enlisting for DCF/CRF preparation</v>
      </c>
      <c r="D8" s="24" t="str">
        <f>'Rate Card'!C8</f>
        <v>Service</v>
      </c>
      <c r="E8" s="24" t="str">
        <f>'Rate Card'!D8</f>
        <v>Fixed</v>
      </c>
      <c r="F8" s="25">
        <f t="shared" si="0"/>
        <v>1</v>
      </c>
      <c r="G8" s="26">
        <f>'Rate Card'!I8</f>
        <v>8700</v>
      </c>
      <c r="H8" s="8"/>
      <c r="I8" s="27">
        <f t="shared" si="1"/>
        <v>0.22500000000000001</v>
      </c>
      <c r="J8" s="16">
        <f t="shared" si="2"/>
        <v>11226</v>
      </c>
      <c r="K8" s="16">
        <f t="shared" si="3"/>
        <v>11226</v>
      </c>
      <c r="L8" s="16">
        <f t="shared" si="4"/>
        <v>8700</v>
      </c>
      <c r="M8" s="25">
        <f>$F8*N('Rate Card'!E8)</f>
        <v>6</v>
      </c>
      <c r="N8" s="25">
        <f>$F8*N('Rate Card'!G8)</f>
        <v>1</v>
      </c>
    </row>
    <row r="9" spans="1:14" x14ac:dyDescent="0.2">
      <c r="A9" s="23" t="s">
        <v>239</v>
      </c>
      <c r="B9" s="28" t="str">
        <f>'Rate Card'!A9</f>
        <v>Medical</v>
      </c>
      <c r="C9" s="28" t="str">
        <f>'Rate Card'!B9</f>
        <v>Site Feasibility Questionnaire (Post Concept Finalization)</v>
      </c>
      <c r="D9" s="28" t="str">
        <f>'Rate Card'!C9</f>
        <v>Service</v>
      </c>
      <c r="E9" s="28" t="str">
        <f>'Rate Card'!D9</f>
        <v>Fixed</v>
      </c>
      <c r="F9" s="29">
        <f t="shared" si="0"/>
        <v>1</v>
      </c>
      <c r="G9" s="30">
        <f>'Rate Card'!I9</f>
        <v>6325</v>
      </c>
      <c r="H9" s="8"/>
      <c r="I9" s="31">
        <f t="shared" si="1"/>
        <v>0.22500000000000001</v>
      </c>
      <c r="J9" s="20">
        <f t="shared" si="2"/>
        <v>8161</v>
      </c>
      <c r="K9" s="20">
        <f t="shared" si="3"/>
        <v>8161</v>
      </c>
      <c r="L9" s="20">
        <f t="shared" si="4"/>
        <v>6325</v>
      </c>
      <c r="M9" s="29">
        <f>$F9*N('Rate Card'!E9)</f>
        <v>3.5</v>
      </c>
      <c r="N9" s="29">
        <f>$F9*N('Rate Card'!G9)</f>
        <v>1</v>
      </c>
    </row>
    <row r="10" spans="1:14" x14ac:dyDescent="0.2">
      <c r="A10" s="23"/>
      <c r="B10" s="24" t="str">
        <f>'Rate Card'!A10</f>
        <v>Medical</v>
      </c>
      <c r="C10" s="24" t="str">
        <f>'Rate Card'!B10</f>
        <v>Feasibility Questionnaire (e.g. Study Feasibility/Survey)</v>
      </c>
      <c r="D10" s="24" t="str">
        <f>'Rate Card'!C10</f>
        <v>Service</v>
      </c>
      <c r="E10" s="24" t="str">
        <f>'Rate Card'!D10</f>
        <v>Fixed</v>
      </c>
      <c r="F10" s="25">
        <f t="shared" si="0"/>
        <v>0</v>
      </c>
      <c r="G10" s="26">
        <f>'Rate Card'!I10</f>
        <v>9325</v>
      </c>
      <c r="H10" s="8"/>
      <c r="I10" s="27">
        <f t="shared" si="1"/>
        <v>0.22500000000000001</v>
      </c>
      <c r="J10" s="16">
        <f t="shared" si="2"/>
        <v>12032</v>
      </c>
      <c r="K10" s="16">
        <f t="shared" si="3"/>
        <v>0</v>
      </c>
      <c r="L10" s="16">
        <f t="shared" si="4"/>
        <v>0</v>
      </c>
      <c r="M10" s="25">
        <f>$F10*N('Rate Card'!E10)</f>
        <v>0</v>
      </c>
      <c r="N10" s="25">
        <f>$F10*N('Rate Card'!G10)</f>
        <v>0</v>
      </c>
    </row>
    <row r="11" spans="1:14" x14ac:dyDescent="0.2">
      <c r="A11" s="23"/>
      <c r="B11" s="28" t="str">
        <f>'Rate Card'!A11</f>
        <v>Medical</v>
      </c>
      <c r="C11" s="28" t="str">
        <f>'Rate Card'!B11</f>
        <v>Investigator meeting deck</v>
      </c>
      <c r="D11" s="28" t="str">
        <f>'Rate Card'!C11</f>
        <v>Service</v>
      </c>
      <c r="E11" s="28" t="str">
        <f>'Rate Card'!D11</f>
        <v>Fixed</v>
      </c>
      <c r="F11" s="29">
        <f t="shared" si="0"/>
        <v>0</v>
      </c>
      <c r="G11" s="30">
        <f>'Rate Card'!I11</f>
        <v>18650</v>
      </c>
      <c r="H11" s="8"/>
      <c r="I11" s="31">
        <f t="shared" si="1"/>
        <v>0.22500000000000001</v>
      </c>
      <c r="J11" s="20">
        <f t="shared" si="2"/>
        <v>24065</v>
      </c>
      <c r="K11" s="20">
        <f t="shared" si="3"/>
        <v>0</v>
      </c>
      <c r="L11" s="20">
        <f t="shared" si="4"/>
        <v>0</v>
      </c>
      <c r="M11" s="29">
        <f>$F11*N('Rate Card'!E11)</f>
        <v>0</v>
      </c>
      <c r="N11" s="29">
        <f>$F11*N('Rate Card'!G11)</f>
        <v>0</v>
      </c>
    </row>
    <row r="12" spans="1:14" x14ac:dyDescent="0.2">
      <c r="A12" s="23" t="s">
        <v>239</v>
      </c>
      <c r="B12" s="24" t="str">
        <f>'Rate Card'!A12</f>
        <v>Medical</v>
      </c>
      <c r="C12" s="24" t="str">
        <f>'Rate Card'!B12</f>
        <v>Protocol Training Deck</v>
      </c>
      <c r="D12" s="24" t="str">
        <f>'Rate Card'!C12</f>
        <v>Service</v>
      </c>
      <c r="E12" s="24" t="str">
        <f>'Rate Card'!D12</f>
        <v>Fixed</v>
      </c>
      <c r="F12" s="25">
        <f t="shared" si="0"/>
        <v>1</v>
      </c>
      <c r="G12" s="26">
        <f>'Rate Card'!I12</f>
        <v>20400</v>
      </c>
      <c r="H12" s="8"/>
      <c r="I12" s="27">
        <f t="shared" si="1"/>
        <v>0.22500000000000001</v>
      </c>
      <c r="J12" s="16">
        <f t="shared" si="2"/>
        <v>26323</v>
      </c>
      <c r="K12" s="16">
        <f t="shared" si="3"/>
        <v>26323</v>
      </c>
      <c r="L12" s="16">
        <f t="shared" si="4"/>
        <v>20400</v>
      </c>
      <c r="M12" s="25">
        <f>$F12*N('Rate Card'!E12)</f>
        <v>12</v>
      </c>
      <c r="N12" s="25">
        <f>$F12*N('Rate Card'!G12)</f>
        <v>3</v>
      </c>
    </row>
    <row r="13" spans="1:14" x14ac:dyDescent="0.2">
      <c r="A13" s="23"/>
      <c r="B13" s="28" t="str">
        <f>'Rate Card'!A13</f>
        <v>Medical</v>
      </c>
      <c r="C13" s="28" t="str">
        <f>'Rate Card'!B13</f>
        <v>SAP - Dummy tables (overlaps with stats)</v>
      </c>
      <c r="D13" s="28" t="str">
        <f>'Rate Card'!C13</f>
        <v>Service</v>
      </c>
      <c r="E13" s="28" t="str">
        <f>'Rate Card'!D13</f>
        <v>Fixed</v>
      </c>
      <c r="F13" s="29">
        <f t="shared" si="0"/>
        <v>0</v>
      </c>
      <c r="G13" s="30">
        <f>'Rate Card'!I13</f>
        <v>23400</v>
      </c>
      <c r="H13" s="8"/>
      <c r="I13" s="31">
        <f t="shared" si="1"/>
        <v>0.22500000000000001</v>
      </c>
      <c r="J13" s="20">
        <f t="shared" si="2"/>
        <v>30194</v>
      </c>
      <c r="K13" s="20">
        <f t="shared" si="3"/>
        <v>0</v>
      </c>
      <c r="L13" s="20">
        <f t="shared" si="4"/>
        <v>0</v>
      </c>
      <c r="M13" s="29">
        <f>$F13*N('Rate Card'!E13)</f>
        <v>0</v>
      </c>
      <c r="N13" s="29">
        <f>$F13*N('Rate Card'!G13)</f>
        <v>0</v>
      </c>
    </row>
    <row r="14" spans="1:14" x14ac:dyDescent="0.2">
      <c r="A14" s="23"/>
      <c r="B14" s="24" t="str">
        <f>'Rate Card'!A14</f>
        <v>Medical</v>
      </c>
      <c r="C14" s="24" t="str">
        <f>'Rate Card'!B14</f>
        <v>SAR (overlaps with stats) (review, varies as per study depth)</v>
      </c>
      <c r="D14" s="24" t="str">
        <f>'Rate Card'!C14</f>
        <v>Service</v>
      </c>
      <c r="E14" s="24" t="str">
        <f>'Rate Card'!D14</f>
        <v>Fixed</v>
      </c>
      <c r="F14" s="25">
        <f t="shared" si="0"/>
        <v>0</v>
      </c>
      <c r="G14" s="26">
        <f>'Rate Card'!I14</f>
        <v>72000</v>
      </c>
      <c r="H14" s="8"/>
      <c r="I14" s="27">
        <f t="shared" si="1"/>
        <v>0.22500000000000001</v>
      </c>
      <c r="J14" s="16">
        <f t="shared" si="2"/>
        <v>92903</v>
      </c>
      <c r="K14" s="16">
        <f t="shared" si="3"/>
        <v>0</v>
      </c>
      <c r="L14" s="16">
        <f t="shared" si="4"/>
        <v>0</v>
      </c>
      <c r="M14" s="25">
        <f>$F14*N('Rate Card'!E14)</f>
        <v>0</v>
      </c>
      <c r="N14" s="25">
        <f>$F14*N('Rate Card'!G14)</f>
        <v>0</v>
      </c>
    </row>
    <row r="15" spans="1:14" x14ac:dyDescent="0.2">
      <c r="A15" s="23"/>
      <c r="B15" s="28" t="str">
        <f>'Rate Card'!A15</f>
        <v>Medical</v>
      </c>
      <c r="C15" s="28" t="str">
        <f>'Rate Card'!B15</f>
        <v>Statistical Analysis (Varies based on quantum and variables) (review)</v>
      </c>
      <c r="D15" s="28" t="str">
        <f>'Rate Card'!C15</f>
        <v>Service</v>
      </c>
      <c r="E15" s="28" t="str">
        <f>'Rate Card'!D15</f>
        <v>Fixed</v>
      </c>
      <c r="F15" s="29">
        <f t="shared" si="0"/>
        <v>0</v>
      </c>
      <c r="G15" s="30">
        <f>'Rate Card'!I15</f>
        <v>48000</v>
      </c>
      <c r="H15" s="8"/>
      <c r="I15" s="31">
        <f t="shared" si="1"/>
        <v>0.22500000000000001</v>
      </c>
      <c r="J15" s="20">
        <f t="shared" si="2"/>
        <v>61935</v>
      </c>
      <c r="K15" s="20">
        <f t="shared" si="3"/>
        <v>0</v>
      </c>
      <c r="L15" s="20">
        <f t="shared" si="4"/>
        <v>0</v>
      </c>
      <c r="M15" s="29">
        <f>$F15*N('Rate Card'!E15)</f>
        <v>0</v>
      </c>
      <c r="N15" s="29">
        <f>$F15*N('Rate Card'!G15)</f>
        <v>0</v>
      </c>
    </row>
    <row r="16" spans="1:14" x14ac:dyDescent="0.2">
      <c r="A16" s="23"/>
      <c r="B16" s="24" t="str">
        <f>'Rate Card'!A16</f>
        <v>Medical</v>
      </c>
      <c r="C16" s="24" t="str">
        <f>'Rate Card'!B16</f>
        <v>Slide Deck (25 slides; Can vary based on Objective; includes RFP deck, interim report etc.)</v>
      </c>
      <c r="D16" s="24" t="str">
        <f>'Rate Card'!C16</f>
        <v>Service</v>
      </c>
      <c r="E16" s="24" t="str">
        <f>'Rate Card'!D16</f>
        <v>Fixed</v>
      </c>
      <c r="F16" s="25">
        <f t="shared" si="0"/>
        <v>0</v>
      </c>
      <c r="G16" s="26">
        <f>'Rate Card'!I16</f>
        <v>50600</v>
      </c>
      <c r="H16" s="8"/>
      <c r="I16" s="27">
        <f t="shared" si="1"/>
        <v>0.22500000000000001</v>
      </c>
      <c r="J16" s="16">
        <f t="shared" si="2"/>
        <v>65290</v>
      </c>
      <c r="K16" s="16">
        <f t="shared" si="3"/>
        <v>0</v>
      </c>
      <c r="L16" s="16">
        <f t="shared" si="4"/>
        <v>0</v>
      </c>
      <c r="M16" s="25">
        <f>$F16*N('Rate Card'!E16)</f>
        <v>0</v>
      </c>
      <c r="N16" s="25">
        <f>$F16*N('Rate Card'!G16)</f>
        <v>0</v>
      </c>
    </row>
    <row r="17" spans="1:14" x14ac:dyDescent="0.2">
      <c r="A17" s="23" t="s">
        <v>239</v>
      </c>
      <c r="B17" s="28" t="str">
        <f>'Rate Card'!A17</f>
        <v>Medical</v>
      </c>
      <c r="C17" s="28" t="str">
        <f>'Rate Card'!B17</f>
        <v>CSR</v>
      </c>
      <c r="D17" s="28" t="str">
        <f>'Rate Card'!C17</f>
        <v>Service</v>
      </c>
      <c r="E17" s="28" t="str">
        <f>'Rate Card'!D17</f>
        <v>Fixed</v>
      </c>
      <c r="F17" s="29">
        <f t="shared" si="0"/>
        <v>1</v>
      </c>
      <c r="G17" s="30">
        <f>'Rate Card'!I17</f>
        <v>110600</v>
      </c>
      <c r="H17" s="8"/>
      <c r="I17" s="31">
        <f t="shared" si="1"/>
        <v>0.22500000000000001</v>
      </c>
      <c r="J17" s="20">
        <f t="shared" si="2"/>
        <v>142710</v>
      </c>
      <c r="K17" s="20">
        <f t="shared" si="3"/>
        <v>142710</v>
      </c>
      <c r="L17" s="20">
        <f t="shared" si="4"/>
        <v>110600</v>
      </c>
      <c r="M17" s="29">
        <f>$F17*N('Rate Card'!E17)</f>
        <v>28</v>
      </c>
      <c r="N17" s="29">
        <f>$F17*N('Rate Card'!G17)</f>
        <v>28</v>
      </c>
    </row>
    <row r="18" spans="1:14" x14ac:dyDescent="0.2">
      <c r="A18" s="23"/>
      <c r="B18" s="24" t="str">
        <f>'Rate Card'!A18</f>
        <v>Medical</v>
      </c>
      <c r="C18" s="24" t="str">
        <f>'Rate Card'!B18</f>
        <v>Journal Selection and list development</v>
      </c>
      <c r="D18" s="24" t="str">
        <f>'Rate Card'!C18</f>
        <v>Service</v>
      </c>
      <c r="E18" s="24" t="str">
        <f>'Rate Card'!D18</f>
        <v>Fixed</v>
      </c>
      <c r="F18" s="25">
        <f t="shared" si="0"/>
        <v>0</v>
      </c>
      <c r="G18" s="26">
        <f>'Rate Card'!I18</f>
        <v>12100</v>
      </c>
      <c r="H18" s="8"/>
      <c r="I18" s="27">
        <f t="shared" si="1"/>
        <v>0.22500000000000001</v>
      </c>
      <c r="J18" s="16">
        <f t="shared" si="2"/>
        <v>15613</v>
      </c>
      <c r="K18" s="16">
        <f t="shared" si="3"/>
        <v>0</v>
      </c>
      <c r="L18" s="16">
        <f t="shared" si="4"/>
        <v>0</v>
      </c>
      <c r="M18" s="25">
        <f>$F18*N('Rate Card'!E18)</f>
        <v>0</v>
      </c>
      <c r="N18" s="25">
        <f>$F18*N('Rate Card'!G18)</f>
        <v>0</v>
      </c>
    </row>
    <row r="19" spans="1:14" x14ac:dyDescent="0.2">
      <c r="A19" s="23"/>
      <c r="B19" s="28" t="str">
        <f>'Rate Card'!A19</f>
        <v>Medical</v>
      </c>
      <c r="C19" s="28" t="str">
        <f>'Rate Card'!B19</f>
        <v>MS writing (Original article for clinical studies)</v>
      </c>
      <c r="D19" s="28" t="str">
        <f>'Rate Card'!C19</f>
        <v>Service</v>
      </c>
      <c r="E19" s="28" t="str">
        <f>'Rate Card'!D19</f>
        <v>Fixed</v>
      </c>
      <c r="F19" s="29">
        <f t="shared" si="0"/>
        <v>0</v>
      </c>
      <c r="G19" s="30">
        <f>'Rate Card'!I19</f>
        <v>148000</v>
      </c>
      <c r="H19" s="8"/>
      <c r="I19" s="31">
        <f t="shared" si="1"/>
        <v>0.22500000000000001</v>
      </c>
      <c r="J19" s="20">
        <f t="shared" si="2"/>
        <v>190968</v>
      </c>
      <c r="K19" s="20">
        <f t="shared" si="3"/>
        <v>0</v>
      </c>
      <c r="L19" s="20">
        <f t="shared" si="4"/>
        <v>0</v>
      </c>
      <c r="M19" s="29">
        <f>$F19*N('Rate Card'!E19)</f>
        <v>0</v>
      </c>
      <c r="N19" s="29">
        <f>$F19*N('Rate Card'!G19)</f>
        <v>0</v>
      </c>
    </row>
    <row r="20" spans="1:14" x14ac:dyDescent="0.2">
      <c r="A20" s="23"/>
      <c r="B20" s="24" t="str">
        <f>'Rate Card'!A20</f>
        <v>Medical</v>
      </c>
      <c r="C20" s="24" t="str">
        <f>'Rate Card'!B20</f>
        <v>MS writing - Review article (Narrative/SLR) (including literature search and finalization)</v>
      </c>
      <c r="D20" s="24" t="str">
        <f>'Rate Card'!C20</f>
        <v>Service</v>
      </c>
      <c r="E20" s="24" t="str">
        <f>'Rate Card'!D20</f>
        <v>Fixed</v>
      </c>
      <c r="F20" s="25">
        <f t="shared" si="0"/>
        <v>0</v>
      </c>
      <c r="G20" s="26">
        <f>'Rate Card'!I20</f>
        <v>181000</v>
      </c>
      <c r="H20" s="8"/>
      <c r="I20" s="27">
        <f t="shared" si="1"/>
        <v>0.22500000000000001</v>
      </c>
      <c r="J20" s="16">
        <f t="shared" si="2"/>
        <v>233548</v>
      </c>
      <c r="K20" s="16">
        <f t="shared" si="3"/>
        <v>0</v>
      </c>
      <c r="L20" s="16">
        <f t="shared" si="4"/>
        <v>0</v>
      </c>
      <c r="M20" s="25">
        <f>$F20*N('Rate Card'!E20)</f>
        <v>0</v>
      </c>
      <c r="N20" s="25">
        <f>$F20*N('Rate Card'!G20)</f>
        <v>0</v>
      </c>
    </row>
    <row r="21" spans="1:14" x14ac:dyDescent="0.2">
      <c r="A21" s="23"/>
      <c r="B21" s="28" t="str">
        <f>'Rate Card'!A21</f>
        <v>Medical</v>
      </c>
      <c r="C21" s="28" t="str">
        <f>'Rate Card'!B21</f>
        <v>Abstract for Conference (1st draft for Client's review and approval)</v>
      </c>
      <c r="D21" s="28" t="str">
        <f>'Rate Card'!C21</f>
        <v>Service</v>
      </c>
      <c r="E21" s="28" t="str">
        <f>'Rate Card'!D21</f>
        <v>Fixed</v>
      </c>
      <c r="F21" s="29">
        <f t="shared" si="0"/>
        <v>0</v>
      </c>
      <c r="G21" s="30">
        <f>'Rate Card'!I21</f>
        <v>119500</v>
      </c>
      <c r="H21" s="8"/>
      <c r="I21" s="31">
        <f t="shared" si="1"/>
        <v>0.22500000000000001</v>
      </c>
      <c r="J21" s="20">
        <f t="shared" si="2"/>
        <v>154194</v>
      </c>
      <c r="K21" s="20">
        <f t="shared" si="3"/>
        <v>0</v>
      </c>
      <c r="L21" s="20">
        <f t="shared" si="4"/>
        <v>0</v>
      </c>
      <c r="M21" s="29">
        <f>$F21*N('Rate Card'!E21)</f>
        <v>0</v>
      </c>
      <c r="N21" s="29">
        <f>$F21*N('Rate Card'!G21)</f>
        <v>0</v>
      </c>
    </row>
    <row r="22" spans="1:14" x14ac:dyDescent="0.2">
      <c r="A22" s="23"/>
      <c r="B22" s="24" t="str">
        <f>'Rate Card'!A22</f>
        <v>Medical</v>
      </c>
      <c r="C22" s="24" t="str">
        <f>'Rate Card'!B22</f>
        <v>Poster in ppt format (1st draft for Client's review and approval)</v>
      </c>
      <c r="D22" s="24" t="str">
        <f>'Rate Card'!C22</f>
        <v>Service</v>
      </c>
      <c r="E22" s="24" t="str">
        <f>'Rate Card'!D22</f>
        <v>Fixed</v>
      </c>
      <c r="F22" s="25">
        <f t="shared" si="0"/>
        <v>0</v>
      </c>
      <c r="G22" s="26">
        <f>'Rate Card'!I22</f>
        <v>45200</v>
      </c>
      <c r="H22" s="8"/>
      <c r="I22" s="27">
        <f t="shared" si="1"/>
        <v>0.22500000000000001</v>
      </c>
      <c r="J22" s="16">
        <f t="shared" si="2"/>
        <v>58323</v>
      </c>
      <c r="K22" s="16">
        <f t="shared" si="3"/>
        <v>0</v>
      </c>
      <c r="L22" s="16">
        <f t="shared" si="4"/>
        <v>0</v>
      </c>
      <c r="M22" s="25">
        <f>$F22*N('Rate Card'!E22)</f>
        <v>0</v>
      </c>
      <c r="N22" s="25">
        <f>$F22*N('Rate Card'!G22)</f>
        <v>0</v>
      </c>
    </row>
    <row r="23" spans="1:14" x14ac:dyDescent="0.2">
      <c r="A23" s="23"/>
      <c r="B23" s="28" t="str">
        <f>'Rate Card'!A23</f>
        <v>Medical</v>
      </c>
      <c r="C23" s="28" t="str">
        <f>'Rate Card'!B23</f>
        <v>Submission package preparation and journal submission (varies as per journal requirement)</v>
      </c>
      <c r="D23" s="28" t="str">
        <f>'Rate Card'!C23</f>
        <v>Service</v>
      </c>
      <c r="E23" s="28" t="str">
        <f>'Rate Card'!D23</f>
        <v>Fixed</v>
      </c>
      <c r="F23" s="29">
        <f t="shared" si="0"/>
        <v>0</v>
      </c>
      <c r="G23" s="30">
        <f>'Rate Card'!I23</f>
        <v>36250</v>
      </c>
      <c r="H23" s="8"/>
      <c r="I23" s="31">
        <f t="shared" si="1"/>
        <v>0.22500000000000001</v>
      </c>
      <c r="J23" s="20">
        <f t="shared" si="2"/>
        <v>46774</v>
      </c>
      <c r="K23" s="20">
        <f t="shared" si="3"/>
        <v>0</v>
      </c>
      <c r="L23" s="20">
        <f t="shared" si="4"/>
        <v>0</v>
      </c>
      <c r="M23" s="29">
        <f>$F23*N('Rate Card'!E23)</f>
        <v>0</v>
      </c>
      <c r="N23" s="29">
        <f>$F23*N('Rate Card'!G23)</f>
        <v>0</v>
      </c>
    </row>
    <row r="24" spans="1:14" x14ac:dyDescent="0.2">
      <c r="A24" s="23"/>
      <c r="B24" s="24" t="str">
        <f>'Rate Card'!A24</f>
        <v>Medical</v>
      </c>
      <c r="C24" s="24" t="str">
        <f>'Rate Card'!B24</f>
        <v>Minor Revisions of Submitted Manuscript and Re-submission (Reviewer comments post submission)</v>
      </c>
      <c r="D24" s="24" t="str">
        <f>'Rate Card'!C24</f>
        <v>Service</v>
      </c>
      <c r="E24" s="24" t="str">
        <f>'Rate Card'!D24</f>
        <v>Fixed</v>
      </c>
      <c r="F24" s="25">
        <f t="shared" si="0"/>
        <v>0</v>
      </c>
      <c r="G24" s="26">
        <f>'Rate Card'!I24</f>
        <v>23400</v>
      </c>
      <c r="H24" s="8"/>
      <c r="I24" s="27">
        <f t="shared" si="1"/>
        <v>0.22500000000000001</v>
      </c>
      <c r="J24" s="16">
        <f t="shared" si="2"/>
        <v>30194</v>
      </c>
      <c r="K24" s="16">
        <f t="shared" si="3"/>
        <v>0</v>
      </c>
      <c r="L24" s="16">
        <f t="shared" si="4"/>
        <v>0</v>
      </c>
      <c r="M24" s="25">
        <f>$F24*N('Rate Card'!E24)</f>
        <v>0</v>
      </c>
      <c r="N24" s="25">
        <f>$F24*N('Rate Card'!G24)</f>
        <v>0</v>
      </c>
    </row>
    <row r="25" spans="1:14" x14ac:dyDescent="0.2">
      <c r="A25" s="23"/>
      <c r="B25" s="28" t="str">
        <f>'Rate Card'!A25</f>
        <v>Medical</v>
      </c>
      <c r="C25" s="28" t="str">
        <f>'Rate Card'!B25</f>
        <v>Major Revisions of Submitted Manuscript and Re-submission (Reviewer comments post submission)</v>
      </c>
      <c r="D25" s="28" t="str">
        <f>'Rate Card'!C25</f>
        <v>Service</v>
      </c>
      <c r="E25" s="28" t="str">
        <f>'Rate Card'!D25</f>
        <v>Fixed</v>
      </c>
      <c r="F25" s="29">
        <f t="shared" si="0"/>
        <v>0</v>
      </c>
      <c r="G25" s="30">
        <f>'Rate Card'!I25</f>
        <v>74000</v>
      </c>
      <c r="H25" s="8"/>
      <c r="I25" s="31">
        <f t="shared" si="1"/>
        <v>0.22500000000000001</v>
      </c>
      <c r="J25" s="20">
        <f t="shared" si="2"/>
        <v>95484</v>
      </c>
      <c r="K25" s="20">
        <f t="shared" si="3"/>
        <v>0</v>
      </c>
      <c r="L25" s="20">
        <f t="shared" si="4"/>
        <v>0</v>
      </c>
      <c r="M25" s="29">
        <f>$F25*N('Rate Card'!E25)</f>
        <v>0</v>
      </c>
      <c r="N25" s="29">
        <f>$F25*N('Rate Card'!G25)</f>
        <v>0</v>
      </c>
    </row>
    <row r="26" spans="1:14" x14ac:dyDescent="0.2">
      <c r="A26" s="23"/>
      <c r="B26" s="24" t="str">
        <f>'Rate Card'!A26</f>
        <v>Medical</v>
      </c>
      <c r="C26" s="24" t="str">
        <f>'Rate Card'!B26</f>
        <v>Other Activities (Grant writing, RFP documents)</v>
      </c>
      <c r="D26" s="24" t="str">
        <f>'Rate Card'!C26</f>
        <v>Service</v>
      </c>
      <c r="E26" s="24" t="str">
        <f>'Rate Card'!D26</f>
        <v>Fixed</v>
      </c>
      <c r="F26" s="25">
        <f t="shared" si="0"/>
        <v>0</v>
      </c>
      <c r="G26" s="26">
        <f>'Rate Card'!I26</f>
        <v>74000</v>
      </c>
      <c r="H26" s="8"/>
      <c r="I26" s="27">
        <f t="shared" si="1"/>
        <v>0.22500000000000001</v>
      </c>
      <c r="J26" s="16">
        <f t="shared" si="2"/>
        <v>95484</v>
      </c>
      <c r="K26" s="16">
        <f t="shared" si="3"/>
        <v>0</v>
      </c>
      <c r="L26" s="16">
        <f t="shared" si="4"/>
        <v>0</v>
      </c>
      <c r="M26" s="25">
        <f>$F26*N('Rate Card'!E26)</f>
        <v>0</v>
      </c>
      <c r="N26" s="25">
        <f>$F26*N('Rate Card'!G26)</f>
        <v>0</v>
      </c>
    </row>
    <row r="27" spans="1:14" x14ac:dyDescent="0.2">
      <c r="A27" s="23" t="s">
        <v>239</v>
      </c>
      <c r="B27" s="28" t="str">
        <f>'Rate Card'!A27</f>
        <v>SSU</v>
      </c>
      <c r="C27" s="28" t="str">
        <f>'Rate Card'!B27</f>
        <v>Site Identification (per site)</v>
      </c>
      <c r="D27" s="28" t="str">
        <f>'Rate Card'!C27</f>
        <v>Service</v>
      </c>
      <c r="E27" s="28" t="str">
        <f>'Rate Card'!D27</f>
        <v>Per site</v>
      </c>
      <c r="F27" s="29">
        <f t="shared" si="0"/>
        <v>5</v>
      </c>
      <c r="G27" s="30">
        <f>'Rate Card'!I27</f>
        <v>400</v>
      </c>
      <c r="H27" s="8"/>
      <c r="I27" s="31">
        <f t="shared" si="1"/>
        <v>0.22500000000000001</v>
      </c>
      <c r="J27" s="20">
        <f t="shared" si="2"/>
        <v>516</v>
      </c>
      <c r="K27" s="20">
        <f t="shared" si="3"/>
        <v>2580</v>
      </c>
      <c r="L27" s="20">
        <f t="shared" si="4"/>
        <v>2000</v>
      </c>
      <c r="M27" s="29">
        <f>$F27*N('Rate Card'!E27)</f>
        <v>2.5</v>
      </c>
      <c r="N27" s="29">
        <f>$F27*N('Rate Card'!G27)</f>
        <v>0</v>
      </c>
    </row>
    <row r="28" spans="1:14" x14ac:dyDescent="0.2">
      <c r="A28" s="23"/>
      <c r="B28" s="24" t="str">
        <f>'Rate Card'!A28</f>
        <v>SSU</v>
      </c>
      <c r="C28" s="24" t="str">
        <f>'Rate Card'!B28</f>
        <v>Pre-feasibility form development</v>
      </c>
      <c r="D28" s="24" t="str">
        <f>'Rate Card'!C28</f>
        <v>Service</v>
      </c>
      <c r="E28" s="24" t="str">
        <f>'Rate Card'!D28</f>
        <v>Fixed</v>
      </c>
      <c r="F28" s="25">
        <f t="shared" si="0"/>
        <v>0</v>
      </c>
      <c r="G28" s="26">
        <f>'Rate Card'!I28</f>
        <v>3200</v>
      </c>
      <c r="H28" s="8"/>
      <c r="I28" s="27">
        <f t="shared" si="1"/>
        <v>0.22500000000000001</v>
      </c>
      <c r="J28" s="16">
        <f t="shared" si="2"/>
        <v>4129</v>
      </c>
      <c r="K28" s="16">
        <f t="shared" si="3"/>
        <v>0</v>
      </c>
      <c r="L28" s="16">
        <f t="shared" si="4"/>
        <v>0</v>
      </c>
      <c r="M28" s="25">
        <f>$F28*N('Rate Card'!E28)</f>
        <v>0</v>
      </c>
      <c r="N28" s="25">
        <f>$F28*N('Rate Card'!G28)</f>
        <v>0</v>
      </c>
    </row>
    <row r="29" spans="1:14" x14ac:dyDescent="0.2">
      <c r="A29" s="23" t="s">
        <v>239</v>
      </c>
      <c r="B29" s="28" t="str">
        <f>'Rate Card'!A29</f>
        <v>SSU</v>
      </c>
      <c r="C29" s="28" t="str">
        <f>'Rate Card'!B29</f>
        <v>Pre-feasibility</v>
      </c>
      <c r="D29" s="28" t="str">
        <f>'Rate Card'!C29</f>
        <v>Service</v>
      </c>
      <c r="E29" s="28" t="str">
        <f>'Rate Card'!D29</f>
        <v>Per site</v>
      </c>
      <c r="F29" s="29">
        <f t="shared" si="0"/>
        <v>5</v>
      </c>
      <c r="G29" s="30">
        <f>'Rate Card'!I29</f>
        <v>1200</v>
      </c>
      <c r="H29" s="8"/>
      <c r="I29" s="31">
        <f t="shared" si="1"/>
        <v>0.22500000000000001</v>
      </c>
      <c r="J29" s="20">
        <f t="shared" si="2"/>
        <v>1548</v>
      </c>
      <c r="K29" s="20">
        <f t="shared" si="3"/>
        <v>7740</v>
      </c>
      <c r="L29" s="20">
        <f t="shared" si="4"/>
        <v>6000</v>
      </c>
      <c r="M29" s="29">
        <f>$F29*N('Rate Card'!E29)</f>
        <v>7.5</v>
      </c>
      <c r="N29" s="29">
        <f>$F29*N('Rate Card'!G29)</f>
        <v>0</v>
      </c>
    </row>
    <row r="30" spans="1:14" x14ac:dyDescent="0.2">
      <c r="A30" s="23" t="s">
        <v>239</v>
      </c>
      <c r="B30" s="24" t="str">
        <f>'Rate Card'!A30</f>
        <v>SSU</v>
      </c>
      <c r="C30" s="24" t="str">
        <f>'Rate Card'!B30</f>
        <v>Feasibility</v>
      </c>
      <c r="D30" s="24" t="str">
        <f>'Rate Card'!C30</f>
        <v>Service</v>
      </c>
      <c r="E30" s="24" t="str">
        <f>'Rate Card'!D30</f>
        <v>Per site</v>
      </c>
      <c r="F30" s="25">
        <f t="shared" si="0"/>
        <v>5</v>
      </c>
      <c r="G30" s="26">
        <f>'Rate Card'!I30</f>
        <v>4200</v>
      </c>
      <c r="H30" s="8"/>
      <c r="I30" s="27">
        <f t="shared" si="1"/>
        <v>0.22500000000000001</v>
      </c>
      <c r="J30" s="16">
        <f t="shared" si="2"/>
        <v>5419</v>
      </c>
      <c r="K30" s="16">
        <f t="shared" si="3"/>
        <v>27095</v>
      </c>
      <c r="L30" s="16">
        <f t="shared" si="4"/>
        <v>21000</v>
      </c>
      <c r="M30" s="25">
        <f>$F30*N('Rate Card'!E30)</f>
        <v>7.5</v>
      </c>
      <c r="N30" s="25">
        <f>$F30*N('Rate Card'!G30)</f>
        <v>5</v>
      </c>
    </row>
    <row r="31" spans="1:14" x14ac:dyDescent="0.2">
      <c r="A31" s="23"/>
      <c r="B31" s="28" t="str">
        <f>'Rate Card'!A31</f>
        <v>SSU</v>
      </c>
      <c r="C31" s="28" t="str">
        <f>'Rate Card'!B31</f>
        <v>Feasibility Report</v>
      </c>
      <c r="D31" s="28" t="str">
        <f>'Rate Card'!C31</f>
        <v>Service</v>
      </c>
      <c r="E31" s="28" t="str">
        <f>'Rate Card'!D31</f>
        <v>Fixed</v>
      </c>
      <c r="F31" s="29">
        <f t="shared" si="0"/>
        <v>0</v>
      </c>
      <c r="G31" s="30">
        <f>'Rate Card'!I31</f>
        <v>3200</v>
      </c>
      <c r="H31" s="8"/>
      <c r="I31" s="31">
        <f t="shared" si="1"/>
        <v>0.22500000000000001</v>
      </c>
      <c r="J31" s="20">
        <f t="shared" si="2"/>
        <v>4129</v>
      </c>
      <c r="K31" s="20">
        <f t="shared" si="3"/>
        <v>0</v>
      </c>
      <c r="L31" s="20">
        <f t="shared" si="4"/>
        <v>0</v>
      </c>
      <c r="M31" s="29">
        <f>$F31*N('Rate Card'!E31)</f>
        <v>0</v>
      </c>
      <c r="N31" s="29">
        <f>$F31*N('Rate Card'!G31)</f>
        <v>0</v>
      </c>
    </row>
    <row r="32" spans="1:14" x14ac:dyDescent="0.2">
      <c r="A32" s="23" t="s">
        <v>239</v>
      </c>
      <c r="B32" s="24" t="str">
        <f>'Rate Card'!A32</f>
        <v>SSU</v>
      </c>
      <c r="C32" s="24" t="str">
        <f>'Rate Card'!B32</f>
        <v>Essential document collection</v>
      </c>
      <c r="D32" s="24" t="str">
        <f>'Rate Card'!C32</f>
        <v>Service</v>
      </c>
      <c r="E32" s="24" t="str">
        <f>'Rate Card'!D32</f>
        <v>Per site</v>
      </c>
      <c r="F32" s="25">
        <f t="shared" si="0"/>
        <v>5</v>
      </c>
      <c r="G32" s="26">
        <f>'Rate Card'!I32</f>
        <v>1600</v>
      </c>
      <c r="H32" s="8"/>
      <c r="I32" s="27">
        <f t="shared" si="1"/>
        <v>0.22500000000000001</v>
      </c>
      <c r="J32" s="16">
        <f t="shared" si="2"/>
        <v>2065</v>
      </c>
      <c r="K32" s="16">
        <f t="shared" si="3"/>
        <v>10325</v>
      </c>
      <c r="L32" s="16">
        <f t="shared" si="4"/>
        <v>8000</v>
      </c>
      <c r="M32" s="25">
        <f>$F32*N('Rate Card'!E32)</f>
        <v>10</v>
      </c>
      <c r="N32" s="25">
        <f>$F32*N('Rate Card'!G32)</f>
        <v>0</v>
      </c>
    </row>
    <row r="33" spans="1:14" x14ac:dyDescent="0.2">
      <c r="A33" s="23"/>
      <c r="B33" s="28" t="str">
        <f>'Rate Card'!A33</f>
        <v>SSU</v>
      </c>
      <c r="C33" s="28" t="str">
        <f>'Rate Card'!B33</f>
        <v>PSQV - preparation</v>
      </c>
      <c r="D33" s="28" t="str">
        <f>'Rate Card'!C33</f>
        <v>Service</v>
      </c>
      <c r="E33" s="28" t="str">
        <f>'Rate Card'!D33</f>
        <v>Per site</v>
      </c>
      <c r="F33" s="29">
        <f t="shared" si="0"/>
        <v>0</v>
      </c>
      <c r="G33" s="30">
        <f>'Rate Card'!I33</f>
        <v>3200</v>
      </c>
      <c r="H33" s="8"/>
      <c r="I33" s="31">
        <f t="shared" si="1"/>
        <v>0.22500000000000001</v>
      </c>
      <c r="J33" s="20">
        <f t="shared" si="2"/>
        <v>4129</v>
      </c>
      <c r="K33" s="20">
        <f t="shared" si="3"/>
        <v>0</v>
      </c>
      <c r="L33" s="20">
        <f t="shared" si="4"/>
        <v>0</v>
      </c>
      <c r="M33" s="29">
        <f>$F33*N('Rate Card'!E33)</f>
        <v>0</v>
      </c>
      <c r="N33" s="29">
        <f>$F33*N('Rate Card'!G33)</f>
        <v>0</v>
      </c>
    </row>
    <row r="34" spans="1:14" x14ac:dyDescent="0.2">
      <c r="A34" s="23"/>
      <c r="B34" s="24" t="str">
        <f>'Rate Card'!A34</f>
        <v>SSU</v>
      </c>
      <c r="C34" s="24" t="str">
        <f>'Rate Card'!B34</f>
        <v>PSQV - visit &amp; report</v>
      </c>
      <c r="D34" s="24" t="str">
        <f>'Rate Card'!C34</f>
        <v>Service</v>
      </c>
      <c r="E34" s="24" t="str">
        <f>'Rate Card'!D34</f>
        <v>Per site</v>
      </c>
      <c r="F34" s="25">
        <f t="shared" ref="F34:F65" si="5">IF($A34="x",IFERROR(INDEX(DriverQty,MATCH($E34,DriverName,0)),0),0)</f>
        <v>0</v>
      </c>
      <c r="G34" s="26">
        <f>'Rate Card'!I34</f>
        <v>6400</v>
      </c>
      <c r="H34" s="8"/>
      <c r="I34" s="27">
        <f t="shared" ref="I34:I65" si="6">IF($D34="Pass-through",0,MAX(MarginFloor,IF($H34="",MarginLever,$H34)))</f>
        <v>0.22500000000000001</v>
      </c>
      <c r="J34" s="16">
        <f t="shared" ref="J34:J65" si="7">IF($D34="Pass-through",$G34,IF($I34&gt;=1,$G34,ROUND($G34/(1-$I34),0)))</f>
        <v>8258</v>
      </c>
      <c r="K34" s="16">
        <f t="shared" ref="K34:K65" si="8">$F34*$J34</f>
        <v>0</v>
      </c>
      <c r="L34" s="16">
        <f t="shared" ref="L34:L65" si="9">$F34*$G34</f>
        <v>0</v>
      </c>
      <c r="M34" s="25">
        <f>$F34*N('Rate Card'!E34)</f>
        <v>0</v>
      </c>
      <c r="N34" s="25">
        <f>$F34*N('Rate Card'!G34)</f>
        <v>0</v>
      </c>
    </row>
    <row r="35" spans="1:14" x14ac:dyDescent="0.2">
      <c r="A35" s="23"/>
      <c r="B35" s="28" t="str">
        <f>'Rate Card'!A35</f>
        <v>SSU</v>
      </c>
      <c r="C35" s="28" t="str">
        <f>'Rate Card'!B35</f>
        <v>PSQV - local travel</v>
      </c>
      <c r="D35" s="28" t="str">
        <f>'Rate Card'!C35</f>
        <v>Service</v>
      </c>
      <c r="E35" s="28" t="str">
        <f>'Rate Card'!D35</f>
        <v>Per site</v>
      </c>
      <c r="F35" s="29">
        <f t="shared" si="5"/>
        <v>0</v>
      </c>
      <c r="G35" s="30">
        <f>'Rate Card'!I35</f>
        <v>4000</v>
      </c>
      <c r="H35" s="8"/>
      <c r="I35" s="31">
        <f t="shared" si="6"/>
        <v>0.22500000000000001</v>
      </c>
      <c r="J35" s="20">
        <f t="shared" si="7"/>
        <v>5161</v>
      </c>
      <c r="K35" s="20">
        <f t="shared" si="8"/>
        <v>0</v>
      </c>
      <c r="L35" s="20">
        <f t="shared" si="9"/>
        <v>0</v>
      </c>
      <c r="M35" s="29">
        <f>$F35*N('Rate Card'!E35)</f>
        <v>0</v>
      </c>
      <c r="N35" s="29">
        <f>$F35*N('Rate Card'!G35)</f>
        <v>0</v>
      </c>
    </row>
    <row r="36" spans="1:14" x14ac:dyDescent="0.2">
      <c r="A36" s="23"/>
      <c r="B36" s="24" t="str">
        <f>'Rate Card'!A36</f>
        <v>SSU</v>
      </c>
      <c r="C36" s="24" t="str">
        <f>'Rate Card'!B36</f>
        <v>PSQV - Out-station travel</v>
      </c>
      <c r="D36" s="24" t="str">
        <f>'Rate Card'!C36</f>
        <v>Service</v>
      </c>
      <c r="E36" s="24" t="str">
        <f>'Rate Card'!D36</f>
        <v>Per site</v>
      </c>
      <c r="F36" s="25">
        <f t="shared" si="5"/>
        <v>0</v>
      </c>
      <c r="G36" s="26">
        <f>'Rate Card'!I36</f>
        <v>8000</v>
      </c>
      <c r="H36" s="8"/>
      <c r="I36" s="27">
        <f t="shared" si="6"/>
        <v>0.22500000000000001</v>
      </c>
      <c r="J36" s="16">
        <f t="shared" si="7"/>
        <v>10323</v>
      </c>
      <c r="K36" s="16">
        <f t="shared" si="8"/>
        <v>0</v>
      </c>
      <c r="L36" s="16">
        <f t="shared" si="9"/>
        <v>0</v>
      </c>
      <c r="M36" s="25">
        <f>$F36*N('Rate Card'!E36)</f>
        <v>0</v>
      </c>
      <c r="N36" s="25">
        <f>$F36*N('Rate Card'!G36)</f>
        <v>0</v>
      </c>
    </row>
    <row r="37" spans="1:14" x14ac:dyDescent="0.2">
      <c r="A37" s="23" t="s">
        <v>239</v>
      </c>
      <c r="B37" s="28" t="str">
        <f>'Rate Card'!A37</f>
        <v>SSU</v>
      </c>
      <c r="C37" s="28" t="str">
        <f>'Rate Card'!B37</f>
        <v>CSA/MoU development</v>
      </c>
      <c r="D37" s="28" t="str">
        <f>'Rate Card'!C37</f>
        <v>Service</v>
      </c>
      <c r="E37" s="28" t="str">
        <f>'Rate Card'!D37</f>
        <v>Fixed</v>
      </c>
      <c r="F37" s="29">
        <f t="shared" si="5"/>
        <v>1</v>
      </c>
      <c r="G37" s="30">
        <f>'Rate Card'!I37</f>
        <v>8300</v>
      </c>
      <c r="H37" s="8"/>
      <c r="I37" s="31">
        <f t="shared" si="6"/>
        <v>0.22500000000000001</v>
      </c>
      <c r="J37" s="20">
        <f t="shared" si="7"/>
        <v>10710</v>
      </c>
      <c r="K37" s="20">
        <f t="shared" si="8"/>
        <v>10710</v>
      </c>
      <c r="L37" s="20">
        <f t="shared" si="9"/>
        <v>8300</v>
      </c>
      <c r="M37" s="29">
        <f>$F37*N('Rate Card'!E37)</f>
        <v>8.5</v>
      </c>
      <c r="N37" s="29">
        <f>$F37*N('Rate Card'!G37)</f>
        <v>0.5</v>
      </c>
    </row>
    <row r="38" spans="1:14" x14ac:dyDescent="0.2">
      <c r="A38" s="23" t="s">
        <v>239</v>
      </c>
      <c r="B38" s="24" t="str">
        <f>'Rate Card'!A38</f>
        <v>SSU</v>
      </c>
      <c r="C38" s="24" t="str">
        <f>'Rate Card'!B38</f>
        <v>CSA/MoU negotiation</v>
      </c>
      <c r="D38" s="24" t="str">
        <f>'Rate Card'!C38</f>
        <v>Service</v>
      </c>
      <c r="E38" s="24" t="str">
        <f>'Rate Card'!D38</f>
        <v>Per site</v>
      </c>
      <c r="F38" s="25">
        <f t="shared" si="5"/>
        <v>5</v>
      </c>
      <c r="G38" s="26">
        <f>'Rate Card'!I38</f>
        <v>1600</v>
      </c>
      <c r="H38" s="8"/>
      <c r="I38" s="27">
        <f t="shared" si="6"/>
        <v>0.22500000000000001</v>
      </c>
      <c r="J38" s="16">
        <f t="shared" si="7"/>
        <v>2065</v>
      </c>
      <c r="K38" s="16">
        <f t="shared" si="8"/>
        <v>10325</v>
      </c>
      <c r="L38" s="16">
        <f t="shared" si="9"/>
        <v>8000</v>
      </c>
      <c r="M38" s="25">
        <f>$F38*N('Rate Card'!E38)</f>
        <v>10</v>
      </c>
      <c r="N38" s="25">
        <f>$F38*N('Rate Card'!G38)</f>
        <v>0</v>
      </c>
    </row>
    <row r="39" spans="1:14" x14ac:dyDescent="0.2">
      <c r="A39" s="23" t="s">
        <v>239</v>
      </c>
      <c r="B39" s="28" t="str">
        <f>'Rate Card'!A39</f>
        <v>SSU</v>
      </c>
      <c r="C39" s="28" t="str">
        <f>'Rate Card'!B39</f>
        <v>EC Dossier preparation</v>
      </c>
      <c r="D39" s="28" t="str">
        <f>'Rate Card'!C39</f>
        <v>Service</v>
      </c>
      <c r="E39" s="28" t="str">
        <f>'Rate Card'!D39</f>
        <v>Per site</v>
      </c>
      <c r="F39" s="29">
        <f t="shared" si="5"/>
        <v>5</v>
      </c>
      <c r="G39" s="30">
        <f>'Rate Card'!I39</f>
        <v>3200</v>
      </c>
      <c r="H39" s="8"/>
      <c r="I39" s="31">
        <f t="shared" si="6"/>
        <v>0.22500000000000001</v>
      </c>
      <c r="J39" s="20">
        <f t="shared" si="7"/>
        <v>4129</v>
      </c>
      <c r="K39" s="20">
        <f t="shared" si="8"/>
        <v>20645</v>
      </c>
      <c r="L39" s="20">
        <f t="shared" si="9"/>
        <v>16000</v>
      </c>
      <c r="M39" s="29">
        <f>$F39*N('Rate Card'!E39)</f>
        <v>20</v>
      </c>
      <c r="N39" s="29">
        <f>$F39*N('Rate Card'!G39)</f>
        <v>0</v>
      </c>
    </row>
    <row r="40" spans="1:14" x14ac:dyDescent="0.2">
      <c r="A40" s="23" t="s">
        <v>239</v>
      </c>
      <c r="B40" s="24" t="str">
        <f>'Rate Card'!A40</f>
        <v>SSU</v>
      </c>
      <c r="C40" s="24" t="str">
        <f>'Rate Card'!B40</f>
        <v>EC Dossier online submission</v>
      </c>
      <c r="D40" s="24" t="str">
        <f>'Rate Card'!C40</f>
        <v>Service</v>
      </c>
      <c r="E40" s="24" t="str">
        <f>'Rate Card'!D40</f>
        <v>Per site</v>
      </c>
      <c r="F40" s="25">
        <f t="shared" si="5"/>
        <v>5</v>
      </c>
      <c r="G40" s="26">
        <f>'Rate Card'!I40</f>
        <v>1600</v>
      </c>
      <c r="H40" s="8"/>
      <c r="I40" s="27">
        <f t="shared" si="6"/>
        <v>0.22500000000000001</v>
      </c>
      <c r="J40" s="16">
        <f t="shared" si="7"/>
        <v>2065</v>
      </c>
      <c r="K40" s="16">
        <f t="shared" si="8"/>
        <v>10325</v>
      </c>
      <c r="L40" s="16">
        <f t="shared" si="9"/>
        <v>8000</v>
      </c>
      <c r="M40" s="25">
        <f>$F40*N('Rate Card'!E40)</f>
        <v>10</v>
      </c>
      <c r="N40" s="25">
        <f>$F40*N('Rate Card'!G40)</f>
        <v>0</v>
      </c>
    </row>
    <row r="41" spans="1:14" x14ac:dyDescent="0.2">
      <c r="A41" s="23"/>
      <c r="B41" s="28" t="str">
        <f>'Rate Card'!A41</f>
        <v>SSU</v>
      </c>
      <c r="C41" s="28" t="str">
        <f>'Rate Card'!B41</f>
        <v>EC Dossier offline submission</v>
      </c>
      <c r="D41" s="28" t="str">
        <f>'Rate Card'!C41</f>
        <v>Service</v>
      </c>
      <c r="E41" s="28" t="str">
        <f>'Rate Card'!D41</f>
        <v>Per site</v>
      </c>
      <c r="F41" s="29">
        <f t="shared" si="5"/>
        <v>0</v>
      </c>
      <c r="G41" s="30">
        <f>'Rate Card'!I41</f>
        <v>6400</v>
      </c>
      <c r="H41" s="8"/>
      <c r="I41" s="31">
        <f t="shared" si="6"/>
        <v>0.22500000000000001</v>
      </c>
      <c r="J41" s="20">
        <f t="shared" si="7"/>
        <v>8258</v>
      </c>
      <c r="K41" s="20">
        <f t="shared" si="8"/>
        <v>0</v>
      </c>
      <c r="L41" s="20">
        <f t="shared" si="9"/>
        <v>0</v>
      </c>
      <c r="M41" s="29">
        <f>$F41*N('Rate Card'!E41)</f>
        <v>0</v>
      </c>
      <c r="N41" s="29">
        <f>$F41*N('Rate Card'!G41)</f>
        <v>0</v>
      </c>
    </row>
    <row r="42" spans="1:14" x14ac:dyDescent="0.2">
      <c r="A42" s="23"/>
      <c r="B42" s="24" t="str">
        <f>'Rate Card'!A42</f>
        <v>SSU</v>
      </c>
      <c r="C42" s="24" t="str">
        <f>'Rate Card'!B42</f>
        <v>EC Communication</v>
      </c>
      <c r="D42" s="24" t="str">
        <f>'Rate Card'!C42</f>
        <v>Service</v>
      </c>
      <c r="E42" s="24" t="str">
        <f>'Rate Card'!D42</f>
        <v>Per site</v>
      </c>
      <c r="F42" s="25">
        <f t="shared" si="5"/>
        <v>0</v>
      </c>
      <c r="G42" s="26">
        <f>'Rate Card'!I42</f>
        <v>3200</v>
      </c>
      <c r="H42" s="8"/>
      <c r="I42" s="27">
        <f t="shared" si="6"/>
        <v>0.22500000000000001</v>
      </c>
      <c r="J42" s="16">
        <f t="shared" si="7"/>
        <v>4129</v>
      </c>
      <c r="K42" s="16">
        <f t="shared" si="8"/>
        <v>0</v>
      </c>
      <c r="L42" s="16">
        <f t="shared" si="9"/>
        <v>0</v>
      </c>
      <c r="M42" s="25">
        <f>$F42*N('Rate Card'!E42)</f>
        <v>0</v>
      </c>
      <c r="N42" s="25">
        <f>$F42*N('Rate Card'!G42)</f>
        <v>0</v>
      </c>
    </row>
    <row r="43" spans="1:14" x14ac:dyDescent="0.2">
      <c r="A43" s="23" t="s">
        <v>239</v>
      </c>
      <c r="B43" s="28" t="str">
        <f>'Rate Card'!A43</f>
        <v>SSU</v>
      </c>
      <c r="C43" s="28" t="str">
        <f>'Rate Card'!B43</f>
        <v>Finance &amp; Admin - A/C setup</v>
      </c>
      <c r="D43" s="28" t="str">
        <f>'Rate Card'!C43</f>
        <v>Service</v>
      </c>
      <c r="E43" s="28" t="str">
        <f>'Rate Card'!D43</f>
        <v>Per site</v>
      </c>
      <c r="F43" s="29">
        <f t="shared" si="5"/>
        <v>5</v>
      </c>
      <c r="G43" s="30">
        <f>'Rate Card'!I43</f>
        <v>1600</v>
      </c>
      <c r="H43" s="8"/>
      <c r="I43" s="31">
        <f t="shared" si="6"/>
        <v>0.22500000000000001</v>
      </c>
      <c r="J43" s="20">
        <f t="shared" si="7"/>
        <v>2065</v>
      </c>
      <c r="K43" s="20">
        <f t="shared" si="8"/>
        <v>10325</v>
      </c>
      <c r="L43" s="20">
        <f t="shared" si="9"/>
        <v>8000</v>
      </c>
      <c r="M43" s="29">
        <f>$F43*N('Rate Card'!E43)</f>
        <v>10</v>
      </c>
      <c r="N43" s="29">
        <f>$F43*N('Rate Card'!G43)</f>
        <v>0</v>
      </c>
    </row>
    <row r="44" spans="1:14" x14ac:dyDescent="0.2">
      <c r="A44" s="23"/>
      <c r="B44" s="24" t="str">
        <f>'Rate Card'!A44</f>
        <v>SSU</v>
      </c>
      <c r="C44" s="24" t="str">
        <f>'Rate Card'!B44</f>
        <v>SIV Dossier Printing &amp; Dispatch</v>
      </c>
      <c r="D44" s="24" t="str">
        <f>'Rate Card'!C44</f>
        <v>Service</v>
      </c>
      <c r="E44" s="24" t="str">
        <f>'Rate Card'!D44</f>
        <v>Per site</v>
      </c>
      <c r="F44" s="25">
        <f t="shared" si="5"/>
        <v>0</v>
      </c>
      <c r="G44" s="26">
        <f>'Rate Card'!I44</f>
        <v>6400</v>
      </c>
      <c r="H44" s="8"/>
      <c r="I44" s="27">
        <f t="shared" si="6"/>
        <v>0.22500000000000001</v>
      </c>
      <c r="J44" s="16">
        <f t="shared" si="7"/>
        <v>8258</v>
      </c>
      <c r="K44" s="16">
        <f t="shared" si="8"/>
        <v>0</v>
      </c>
      <c r="L44" s="16">
        <f t="shared" si="9"/>
        <v>0</v>
      </c>
      <c r="M44" s="25">
        <f>$F44*N('Rate Card'!E44)</f>
        <v>0</v>
      </c>
      <c r="N44" s="25">
        <f>$F44*N('Rate Card'!G44)</f>
        <v>0</v>
      </c>
    </row>
    <row r="45" spans="1:14" x14ac:dyDescent="0.2">
      <c r="A45" s="23"/>
      <c r="B45" s="28" t="str">
        <f>'Rate Card'!A45</f>
        <v>SSU</v>
      </c>
      <c r="C45" s="28" t="str">
        <f>'Rate Card'!B45</f>
        <v>Site Handover</v>
      </c>
      <c r="D45" s="28" t="str">
        <f>'Rate Card'!C45</f>
        <v>Service</v>
      </c>
      <c r="E45" s="28" t="str">
        <f>'Rate Card'!D45</f>
        <v>Per site</v>
      </c>
      <c r="F45" s="29">
        <f t="shared" si="5"/>
        <v>0</v>
      </c>
      <c r="G45" s="30">
        <f>'Rate Card'!I45</f>
        <v>3200</v>
      </c>
      <c r="H45" s="8"/>
      <c r="I45" s="31">
        <f t="shared" si="6"/>
        <v>0.22500000000000001</v>
      </c>
      <c r="J45" s="20">
        <f t="shared" si="7"/>
        <v>4129</v>
      </c>
      <c r="K45" s="20">
        <f t="shared" si="8"/>
        <v>0</v>
      </c>
      <c r="L45" s="20">
        <f t="shared" si="9"/>
        <v>0</v>
      </c>
      <c r="M45" s="29">
        <f>$F45*N('Rate Card'!E45)</f>
        <v>0</v>
      </c>
      <c r="N45" s="29">
        <f>$F45*N('Rate Card'!G45)</f>
        <v>0</v>
      </c>
    </row>
    <row r="46" spans="1:14" x14ac:dyDescent="0.2">
      <c r="A46" s="23" t="s">
        <v>239</v>
      </c>
      <c r="B46" s="24" t="str">
        <f>'Rate Card'!A46</f>
        <v>SSU</v>
      </c>
      <c r="C46" s="24" t="str">
        <f>'Rate Card'!B46</f>
        <v>TMF Support</v>
      </c>
      <c r="D46" s="24" t="str">
        <f>'Rate Card'!C46</f>
        <v>Service</v>
      </c>
      <c r="E46" s="24" t="str">
        <f>'Rate Card'!D46</f>
        <v>Per site</v>
      </c>
      <c r="F46" s="25">
        <f t="shared" si="5"/>
        <v>5</v>
      </c>
      <c r="G46" s="26">
        <f>'Rate Card'!I46</f>
        <v>9600</v>
      </c>
      <c r="H46" s="8"/>
      <c r="I46" s="27">
        <f t="shared" si="6"/>
        <v>0.22500000000000001</v>
      </c>
      <c r="J46" s="16">
        <f t="shared" si="7"/>
        <v>12387</v>
      </c>
      <c r="K46" s="16">
        <f t="shared" si="8"/>
        <v>61935</v>
      </c>
      <c r="L46" s="16">
        <f t="shared" si="9"/>
        <v>48000</v>
      </c>
      <c r="M46" s="25">
        <f>$F46*N('Rate Card'!E46)</f>
        <v>60</v>
      </c>
      <c r="N46" s="25">
        <f>$F46*N('Rate Card'!G46)</f>
        <v>0</v>
      </c>
    </row>
    <row r="47" spans="1:14" x14ac:dyDescent="0.2">
      <c r="A47" s="23"/>
      <c r="B47" s="28" t="str">
        <f>'Rate Card'!A47</f>
        <v>SSU</v>
      </c>
      <c r="C47" s="28" t="str">
        <f>'Rate Card'!B47</f>
        <v>ISF Support</v>
      </c>
      <c r="D47" s="28" t="str">
        <f>'Rate Card'!C47</f>
        <v>Service</v>
      </c>
      <c r="E47" s="28" t="str">
        <f>'Rate Card'!D47</f>
        <v>Per site</v>
      </c>
      <c r="F47" s="29">
        <f t="shared" si="5"/>
        <v>0</v>
      </c>
      <c r="G47" s="30">
        <f>'Rate Card'!I47</f>
        <v>12800</v>
      </c>
      <c r="H47" s="8"/>
      <c r="I47" s="31">
        <f t="shared" si="6"/>
        <v>0.22500000000000001</v>
      </c>
      <c r="J47" s="20">
        <f t="shared" si="7"/>
        <v>16516</v>
      </c>
      <c r="K47" s="20">
        <f t="shared" si="8"/>
        <v>0</v>
      </c>
      <c r="L47" s="20">
        <f t="shared" si="9"/>
        <v>0</v>
      </c>
      <c r="M47" s="29">
        <f>$F47*N('Rate Card'!E47)</f>
        <v>0</v>
      </c>
      <c r="N47" s="29">
        <f>$F47*N('Rate Card'!G47)</f>
        <v>0</v>
      </c>
    </row>
    <row r="48" spans="1:14" x14ac:dyDescent="0.2">
      <c r="A48" s="23"/>
      <c r="B48" s="24" t="str">
        <f>'Rate Card'!A48</f>
        <v>SSU</v>
      </c>
      <c r="C48" s="24" t="str">
        <f>'Rate Card'!B48</f>
        <v>eISF support</v>
      </c>
      <c r="D48" s="24" t="str">
        <f>'Rate Card'!C48</f>
        <v>Service</v>
      </c>
      <c r="E48" s="24" t="str">
        <f>'Rate Card'!D48</f>
        <v>Per site</v>
      </c>
      <c r="F48" s="25">
        <f t="shared" si="5"/>
        <v>0</v>
      </c>
      <c r="G48" s="26">
        <f>'Rate Card'!I48</f>
        <v>0</v>
      </c>
      <c r="H48" s="8"/>
      <c r="I48" s="27">
        <f t="shared" si="6"/>
        <v>0.22500000000000001</v>
      </c>
      <c r="J48" s="16">
        <f t="shared" si="7"/>
        <v>0</v>
      </c>
      <c r="K48" s="16">
        <f t="shared" si="8"/>
        <v>0</v>
      </c>
      <c r="L48" s="16">
        <f t="shared" si="9"/>
        <v>0</v>
      </c>
      <c r="M48" s="25">
        <f>$F48*N('Rate Card'!E48)</f>
        <v>0</v>
      </c>
      <c r="N48" s="25">
        <f>$F48*N('Rate Card'!G48)</f>
        <v>0</v>
      </c>
    </row>
    <row r="49" spans="1:14" x14ac:dyDescent="0.2">
      <c r="A49" s="23"/>
      <c r="B49" s="28" t="str">
        <f>'Rate Card'!A49</f>
        <v>DM</v>
      </c>
      <c r="C49" s="28" t="str">
        <f>'Rate Card'!B49</f>
        <v>Protocol Training</v>
      </c>
      <c r="D49" s="28" t="str">
        <f>'Rate Card'!C49</f>
        <v>Service</v>
      </c>
      <c r="E49" s="28" t="str">
        <f>'Rate Card'!D49</f>
        <v>Fixed</v>
      </c>
      <c r="F49" s="29">
        <f t="shared" si="5"/>
        <v>0</v>
      </c>
      <c r="G49" s="30">
        <f>'Rate Card'!I49</f>
        <v>21250</v>
      </c>
      <c r="H49" s="8"/>
      <c r="I49" s="31">
        <f t="shared" si="6"/>
        <v>0.22500000000000001</v>
      </c>
      <c r="J49" s="20">
        <f t="shared" si="7"/>
        <v>27419</v>
      </c>
      <c r="K49" s="20">
        <f t="shared" si="8"/>
        <v>0</v>
      </c>
      <c r="L49" s="20">
        <f t="shared" si="9"/>
        <v>0</v>
      </c>
      <c r="M49" s="29">
        <f>$F49*N('Rate Card'!E49)</f>
        <v>0</v>
      </c>
      <c r="N49" s="29">
        <f>$F49*N('Rate Card'!G49)</f>
        <v>0</v>
      </c>
    </row>
    <row r="50" spans="1:14" x14ac:dyDescent="0.2">
      <c r="A50" s="23" t="s">
        <v>239</v>
      </c>
      <c r="B50" s="24" t="str">
        <f>'Rate Card'!A50</f>
        <v>DM</v>
      </c>
      <c r="C50" s="24" t="str">
        <f>'Rate Card'!B50</f>
        <v>DMP development and finalization</v>
      </c>
      <c r="D50" s="24" t="str">
        <f>'Rate Card'!C50</f>
        <v>Service</v>
      </c>
      <c r="E50" s="24" t="str">
        <f>'Rate Card'!D50</f>
        <v>Fixed</v>
      </c>
      <c r="F50" s="25">
        <f t="shared" si="5"/>
        <v>1</v>
      </c>
      <c r="G50" s="26">
        <f>'Rate Card'!I50</f>
        <v>48500</v>
      </c>
      <c r="H50" s="8"/>
      <c r="I50" s="27">
        <f t="shared" si="6"/>
        <v>0.22500000000000001</v>
      </c>
      <c r="J50" s="16">
        <f t="shared" si="7"/>
        <v>62581</v>
      </c>
      <c r="K50" s="16">
        <f t="shared" si="8"/>
        <v>62581</v>
      </c>
      <c r="L50" s="16">
        <f t="shared" si="9"/>
        <v>48500</v>
      </c>
      <c r="M50" s="25">
        <f>$F50*N('Rate Card'!E50)</f>
        <v>50</v>
      </c>
      <c r="N50" s="25">
        <f>$F50*N('Rate Card'!G50)</f>
        <v>2</v>
      </c>
    </row>
    <row r="51" spans="1:14" x14ac:dyDescent="0.2">
      <c r="A51" s="23" t="s">
        <v>239</v>
      </c>
      <c r="B51" s="28" t="str">
        <f>'Rate Card'!A51</f>
        <v>DM</v>
      </c>
      <c r="C51" s="28" t="str">
        <f>'Rate Card'!B51</f>
        <v>CRF Development (upto 50 pages)</v>
      </c>
      <c r="D51" s="28" t="str">
        <f>'Rate Card'!C51</f>
        <v>Service</v>
      </c>
      <c r="E51" s="28" t="str">
        <f>'Rate Card'!D51</f>
        <v>Fixed</v>
      </c>
      <c r="F51" s="29">
        <f t="shared" si="5"/>
        <v>1</v>
      </c>
      <c r="G51" s="30">
        <f>'Rate Card'!I51</f>
        <v>102000</v>
      </c>
      <c r="H51" s="8"/>
      <c r="I51" s="31">
        <f t="shared" si="6"/>
        <v>0.22500000000000001</v>
      </c>
      <c r="J51" s="20">
        <f t="shared" si="7"/>
        <v>131613</v>
      </c>
      <c r="K51" s="20">
        <f t="shared" si="8"/>
        <v>131613</v>
      </c>
      <c r="L51" s="20">
        <f t="shared" si="9"/>
        <v>102000</v>
      </c>
      <c r="M51" s="29">
        <f>$F51*N('Rate Card'!E51)</f>
        <v>120</v>
      </c>
      <c r="N51" s="29">
        <f>$F51*N('Rate Card'!G51)</f>
        <v>0</v>
      </c>
    </row>
    <row r="52" spans="1:14" x14ac:dyDescent="0.2">
      <c r="A52" s="23" t="s">
        <v>239</v>
      </c>
      <c r="B52" s="24" t="str">
        <f>'Rate Card'!A52</f>
        <v>DM</v>
      </c>
      <c r="C52" s="24" t="str">
        <f>'Rate Card'!B52</f>
        <v>CRF Finalization</v>
      </c>
      <c r="D52" s="24" t="str">
        <f>'Rate Card'!C52</f>
        <v>Service</v>
      </c>
      <c r="E52" s="24" t="str">
        <f>'Rate Card'!D52</f>
        <v>Fixed</v>
      </c>
      <c r="F52" s="25">
        <f t="shared" si="5"/>
        <v>1</v>
      </c>
      <c r="G52" s="26">
        <f>'Rate Card'!I52</f>
        <v>45500</v>
      </c>
      <c r="H52" s="8"/>
      <c r="I52" s="27">
        <f t="shared" si="6"/>
        <v>0.22500000000000001</v>
      </c>
      <c r="J52" s="16">
        <f t="shared" si="7"/>
        <v>58710</v>
      </c>
      <c r="K52" s="16">
        <f t="shared" si="8"/>
        <v>58710</v>
      </c>
      <c r="L52" s="16">
        <f t="shared" si="9"/>
        <v>45500</v>
      </c>
      <c r="M52" s="25">
        <f>$F52*N('Rate Card'!E52)</f>
        <v>50</v>
      </c>
      <c r="N52" s="25">
        <f>$F52*N('Rate Card'!G52)</f>
        <v>1</v>
      </c>
    </row>
    <row r="53" spans="1:14" x14ac:dyDescent="0.2">
      <c r="A53" s="23"/>
      <c r="B53" s="28" t="str">
        <f>'Rate Card'!A53</f>
        <v>DM</v>
      </c>
      <c r="C53" s="28" t="str">
        <f>'Rate Card'!B53</f>
        <v>DCF development (on paper CRF)</v>
      </c>
      <c r="D53" s="28" t="str">
        <f>'Rate Card'!C53</f>
        <v>Service</v>
      </c>
      <c r="E53" s="28" t="str">
        <f>'Rate Card'!D53</f>
        <v>Fixed</v>
      </c>
      <c r="F53" s="29">
        <f t="shared" si="5"/>
        <v>0</v>
      </c>
      <c r="G53" s="30">
        <f>'Rate Card'!I53</f>
        <v>34000</v>
      </c>
      <c r="H53" s="8"/>
      <c r="I53" s="31">
        <f t="shared" si="6"/>
        <v>0.22500000000000001</v>
      </c>
      <c r="J53" s="20">
        <f t="shared" si="7"/>
        <v>43871</v>
      </c>
      <c r="K53" s="20">
        <f t="shared" si="8"/>
        <v>0</v>
      </c>
      <c r="L53" s="20">
        <f t="shared" si="9"/>
        <v>0</v>
      </c>
      <c r="M53" s="29">
        <f>$F53*N('Rate Card'!E53)</f>
        <v>0</v>
      </c>
      <c r="N53" s="29">
        <f>$F53*N('Rate Card'!G53)</f>
        <v>0</v>
      </c>
    </row>
    <row r="54" spans="1:14" x14ac:dyDescent="0.2">
      <c r="A54" s="23"/>
      <c r="B54" s="24" t="str">
        <f>'Rate Card'!A54</f>
        <v>DM</v>
      </c>
      <c r="C54" s="24" t="str">
        <f>'Rate Card'!B54</f>
        <v>DCF development (no paper CRF)</v>
      </c>
      <c r="D54" s="24" t="str">
        <f>'Rate Card'!C54</f>
        <v>Service</v>
      </c>
      <c r="E54" s="24" t="str">
        <f>'Rate Card'!D54</f>
        <v>Fixed</v>
      </c>
      <c r="F54" s="25">
        <f t="shared" si="5"/>
        <v>0</v>
      </c>
      <c r="G54" s="26">
        <f>'Rate Card'!I54</f>
        <v>68000</v>
      </c>
      <c r="H54" s="8"/>
      <c r="I54" s="27">
        <f t="shared" si="6"/>
        <v>0.22500000000000001</v>
      </c>
      <c r="J54" s="16">
        <f t="shared" si="7"/>
        <v>87742</v>
      </c>
      <c r="K54" s="16">
        <f t="shared" si="8"/>
        <v>0</v>
      </c>
      <c r="L54" s="16">
        <f t="shared" si="9"/>
        <v>0</v>
      </c>
      <c r="M54" s="25">
        <f>$F54*N('Rate Card'!E54)</f>
        <v>0</v>
      </c>
      <c r="N54" s="25">
        <f>$F54*N('Rate Card'!G54)</f>
        <v>0</v>
      </c>
    </row>
    <row r="55" spans="1:14" x14ac:dyDescent="0.2">
      <c r="A55" s="23" t="s">
        <v>239</v>
      </c>
      <c r="B55" s="28" t="str">
        <f>'Rate Card'!A55</f>
        <v>DM</v>
      </c>
      <c r="C55" s="28" t="str">
        <f>'Rate Card'!B55</f>
        <v>EDC finalization</v>
      </c>
      <c r="D55" s="28" t="str">
        <f>'Rate Card'!C55</f>
        <v>Service</v>
      </c>
      <c r="E55" s="28" t="str">
        <f>'Rate Card'!D55</f>
        <v>Fixed</v>
      </c>
      <c r="F55" s="29">
        <f t="shared" si="5"/>
        <v>1</v>
      </c>
      <c r="G55" s="30">
        <f>'Rate Card'!I55</f>
        <v>42500</v>
      </c>
      <c r="H55" s="8"/>
      <c r="I55" s="31">
        <f t="shared" si="6"/>
        <v>0.22500000000000001</v>
      </c>
      <c r="J55" s="20">
        <f t="shared" si="7"/>
        <v>54839</v>
      </c>
      <c r="K55" s="20">
        <f t="shared" si="8"/>
        <v>54839</v>
      </c>
      <c r="L55" s="20">
        <f t="shared" si="9"/>
        <v>42500</v>
      </c>
      <c r="M55" s="29">
        <f>$F55*N('Rate Card'!E55)</f>
        <v>50</v>
      </c>
      <c r="N55" s="29">
        <f>$F55*N('Rate Card'!G55)</f>
        <v>0</v>
      </c>
    </row>
    <row r="56" spans="1:14" x14ac:dyDescent="0.2">
      <c r="A56" s="23"/>
      <c r="B56" s="24" t="str">
        <f>'Rate Card'!A56</f>
        <v>DM</v>
      </c>
      <c r="C56" s="24" t="str">
        <f>'Rate Card'!B56</f>
        <v>EDC UAT- Demo</v>
      </c>
      <c r="D56" s="24" t="str">
        <f>'Rate Card'!C56</f>
        <v>Service</v>
      </c>
      <c r="E56" s="24" t="str">
        <f>'Rate Card'!D56</f>
        <v>Fixed</v>
      </c>
      <c r="F56" s="25">
        <f t="shared" si="5"/>
        <v>0</v>
      </c>
      <c r="G56" s="26">
        <f>'Rate Card'!I56</f>
        <v>68000</v>
      </c>
      <c r="H56" s="8"/>
      <c r="I56" s="27">
        <f t="shared" si="6"/>
        <v>0.22500000000000001</v>
      </c>
      <c r="J56" s="16">
        <f t="shared" si="7"/>
        <v>87742</v>
      </c>
      <c r="K56" s="16">
        <f t="shared" si="8"/>
        <v>0</v>
      </c>
      <c r="L56" s="16">
        <f t="shared" si="9"/>
        <v>0</v>
      </c>
      <c r="M56" s="25">
        <f>$F56*N('Rate Card'!E56)</f>
        <v>0</v>
      </c>
      <c r="N56" s="25">
        <f>$F56*N('Rate Card'!G56)</f>
        <v>0</v>
      </c>
    </row>
    <row r="57" spans="1:14" x14ac:dyDescent="0.2">
      <c r="A57" s="23"/>
      <c r="B57" s="28" t="str">
        <f>'Rate Card'!A57</f>
        <v>DM</v>
      </c>
      <c r="C57" s="28" t="str">
        <f>'Rate Card'!B57</f>
        <v>EDC UAT- Production</v>
      </c>
      <c r="D57" s="28" t="str">
        <f>'Rate Card'!C57</f>
        <v>Service</v>
      </c>
      <c r="E57" s="28" t="str">
        <f>'Rate Card'!D57</f>
        <v>Fixed</v>
      </c>
      <c r="F57" s="29">
        <f t="shared" si="5"/>
        <v>0</v>
      </c>
      <c r="G57" s="30">
        <f>'Rate Card'!I57</f>
        <v>7250</v>
      </c>
      <c r="H57" s="8"/>
      <c r="I57" s="31">
        <f t="shared" si="6"/>
        <v>0.22500000000000001</v>
      </c>
      <c r="J57" s="20">
        <f t="shared" si="7"/>
        <v>9355</v>
      </c>
      <c r="K57" s="20">
        <f t="shared" si="8"/>
        <v>0</v>
      </c>
      <c r="L57" s="20">
        <f t="shared" si="9"/>
        <v>0</v>
      </c>
      <c r="M57" s="29">
        <f>$F57*N('Rate Card'!E57)</f>
        <v>0</v>
      </c>
      <c r="N57" s="29">
        <f>$F57*N('Rate Card'!G57)</f>
        <v>0</v>
      </c>
    </row>
    <row r="58" spans="1:14" x14ac:dyDescent="0.2">
      <c r="A58" s="23"/>
      <c r="B58" s="24" t="str">
        <f>'Rate Card'!A58</f>
        <v>DM</v>
      </c>
      <c r="C58" s="24" t="str">
        <f>'Rate Card'!B58</f>
        <v>Data Digitization</v>
      </c>
      <c r="D58" s="24" t="str">
        <f>'Rate Card'!C58</f>
        <v>Service</v>
      </c>
      <c r="E58" s="24" t="str">
        <f>'Rate Card'!D58</f>
        <v>Per visit</v>
      </c>
      <c r="F58" s="25">
        <f t="shared" si="5"/>
        <v>0</v>
      </c>
      <c r="G58" s="26">
        <f>'Rate Card'!I58</f>
        <v>850</v>
      </c>
      <c r="H58" s="8"/>
      <c r="I58" s="27">
        <f t="shared" si="6"/>
        <v>0.22500000000000001</v>
      </c>
      <c r="J58" s="16">
        <f t="shared" si="7"/>
        <v>1097</v>
      </c>
      <c r="K58" s="16">
        <f t="shared" si="8"/>
        <v>0</v>
      </c>
      <c r="L58" s="16">
        <f t="shared" si="9"/>
        <v>0</v>
      </c>
      <c r="M58" s="25">
        <f>$F58*N('Rate Card'!E58)</f>
        <v>0</v>
      </c>
      <c r="N58" s="25">
        <f>$F58*N('Rate Card'!G58)</f>
        <v>0</v>
      </c>
    </row>
    <row r="59" spans="1:14" x14ac:dyDescent="0.2">
      <c r="A59" s="23"/>
      <c r="B59" s="28" t="str">
        <f>'Rate Card'!A59</f>
        <v>DM</v>
      </c>
      <c r="C59" s="28" t="str">
        <f>'Rate Card'!B59</f>
        <v>Trackers update</v>
      </c>
      <c r="D59" s="28" t="str">
        <f>'Rate Card'!C59</f>
        <v>Service</v>
      </c>
      <c r="E59" s="28" t="str">
        <f>'Rate Card'!D59</f>
        <v>Per month</v>
      </c>
      <c r="F59" s="29">
        <f t="shared" si="5"/>
        <v>0</v>
      </c>
      <c r="G59" s="30">
        <f>'Rate Card'!I59</f>
        <v>31275</v>
      </c>
      <c r="H59" s="8"/>
      <c r="I59" s="31">
        <f t="shared" si="6"/>
        <v>0.22500000000000001</v>
      </c>
      <c r="J59" s="20">
        <f t="shared" si="7"/>
        <v>40355</v>
      </c>
      <c r="K59" s="20">
        <f t="shared" si="8"/>
        <v>0</v>
      </c>
      <c r="L59" s="20">
        <f t="shared" si="9"/>
        <v>0</v>
      </c>
      <c r="M59" s="29">
        <f>$F59*N('Rate Card'!E59)</f>
        <v>0</v>
      </c>
      <c r="N59" s="29">
        <f>$F59*N('Rate Card'!G59)</f>
        <v>0</v>
      </c>
    </row>
    <row r="60" spans="1:14" x14ac:dyDescent="0.2">
      <c r="A60" s="23"/>
      <c r="B60" s="24" t="str">
        <f>'Rate Card'!A60</f>
        <v>DM</v>
      </c>
      <c r="C60" s="24" t="str">
        <f>'Rate Card'!B60</f>
        <v>EDC completion guidelines</v>
      </c>
      <c r="D60" s="24" t="str">
        <f>'Rate Card'!C60</f>
        <v>Service</v>
      </c>
      <c r="E60" s="24" t="str">
        <f>'Rate Card'!D60</f>
        <v>Fixed</v>
      </c>
      <c r="F60" s="25">
        <f t="shared" si="5"/>
        <v>0</v>
      </c>
      <c r="G60" s="26">
        <f>'Rate Card'!I60</f>
        <v>54000</v>
      </c>
      <c r="H60" s="8"/>
      <c r="I60" s="27">
        <f t="shared" si="6"/>
        <v>0.22500000000000001</v>
      </c>
      <c r="J60" s="16">
        <f t="shared" si="7"/>
        <v>69677</v>
      </c>
      <c r="K60" s="16">
        <f t="shared" si="8"/>
        <v>0</v>
      </c>
      <c r="L60" s="16">
        <f t="shared" si="9"/>
        <v>0</v>
      </c>
      <c r="M60" s="25">
        <f>$F60*N('Rate Card'!E60)</f>
        <v>0</v>
      </c>
      <c r="N60" s="25">
        <f>$F60*N('Rate Card'!G60)</f>
        <v>0</v>
      </c>
    </row>
    <row r="61" spans="1:14" x14ac:dyDescent="0.2">
      <c r="A61" s="23"/>
      <c r="B61" s="28" t="str">
        <f>'Rate Card'!A61</f>
        <v>DM</v>
      </c>
      <c r="C61" s="28" t="str">
        <f>'Rate Card'!B61</f>
        <v>Patient Diary (if required)</v>
      </c>
      <c r="D61" s="28" t="str">
        <f>'Rate Card'!C61</f>
        <v>Service</v>
      </c>
      <c r="E61" s="28" t="str">
        <f>'Rate Card'!D61</f>
        <v>Fixed</v>
      </c>
      <c r="F61" s="29">
        <f t="shared" si="5"/>
        <v>0</v>
      </c>
      <c r="G61" s="30">
        <f>'Rate Card'!I61</f>
        <v>25500</v>
      </c>
      <c r="H61" s="8"/>
      <c r="I61" s="31">
        <f t="shared" si="6"/>
        <v>0.22500000000000001</v>
      </c>
      <c r="J61" s="20">
        <f t="shared" si="7"/>
        <v>32903</v>
      </c>
      <c r="K61" s="20">
        <f t="shared" si="8"/>
        <v>0</v>
      </c>
      <c r="L61" s="20">
        <f t="shared" si="9"/>
        <v>0</v>
      </c>
      <c r="M61" s="29">
        <f>$F61*N('Rate Card'!E61)</f>
        <v>0</v>
      </c>
      <c r="N61" s="29">
        <f>$F61*N('Rate Card'!G61)</f>
        <v>0</v>
      </c>
    </row>
    <row r="62" spans="1:14" x14ac:dyDescent="0.2">
      <c r="A62" s="23"/>
      <c r="B62" s="24" t="str">
        <f>'Rate Card'!A62</f>
        <v>DM</v>
      </c>
      <c r="C62" s="24" t="str">
        <f>'Rate Card'!B62</f>
        <v>Patient dairy completion guidelines</v>
      </c>
      <c r="D62" s="24" t="str">
        <f>'Rate Card'!C62</f>
        <v>Service</v>
      </c>
      <c r="E62" s="24" t="str">
        <f>'Rate Card'!D62</f>
        <v>Fixed</v>
      </c>
      <c r="F62" s="25">
        <f t="shared" si="5"/>
        <v>0</v>
      </c>
      <c r="G62" s="26">
        <f>'Rate Card'!I62</f>
        <v>17000</v>
      </c>
      <c r="H62" s="8"/>
      <c r="I62" s="27">
        <f t="shared" si="6"/>
        <v>0.22500000000000001</v>
      </c>
      <c r="J62" s="16">
        <f t="shared" si="7"/>
        <v>21935</v>
      </c>
      <c r="K62" s="16">
        <f t="shared" si="8"/>
        <v>0</v>
      </c>
      <c r="L62" s="16">
        <f t="shared" si="9"/>
        <v>0</v>
      </c>
      <c r="M62" s="25">
        <f>$F62*N('Rate Card'!E62)</f>
        <v>0</v>
      </c>
      <c r="N62" s="25">
        <f>$F62*N('Rate Card'!G62)</f>
        <v>0</v>
      </c>
    </row>
    <row r="63" spans="1:14" x14ac:dyDescent="0.2">
      <c r="A63" s="23"/>
      <c r="B63" s="28" t="str">
        <f>'Rate Card'!A63</f>
        <v>DM</v>
      </c>
      <c r="C63" s="28" t="str">
        <f>'Rate Card'!B63</f>
        <v>Data QC (per visit) [Prospective]</v>
      </c>
      <c r="D63" s="28" t="str">
        <f>'Rate Card'!C63</f>
        <v>Service</v>
      </c>
      <c r="E63" s="28" t="str">
        <f>'Rate Card'!D63</f>
        <v>Per visit</v>
      </c>
      <c r="F63" s="29">
        <f t="shared" si="5"/>
        <v>0</v>
      </c>
      <c r="G63" s="30">
        <f>'Rate Card'!I63</f>
        <v>1700</v>
      </c>
      <c r="H63" s="8"/>
      <c r="I63" s="31">
        <f t="shared" si="6"/>
        <v>0.22500000000000001</v>
      </c>
      <c r="J63" s="20">
        <f t="shared" si="7"/>
        <v>2194</v>
      </c>
      <c r="K63" s="20">
        <f t="shared" si="8"/>
        <v>0</v>
      </c>
      <c r="L63" s="20">
        <f t="shared" si="9"/>
        <v>0</v>
      </c>
      <c r="M63" s="29">
        <f>$F63*N('Rate Card'!E63)</f>
        <v>0</v>
      </c>
      <c r="N63" s="29">
        <f>$F63*N('Rate Card'!G63)</f>
        <v>0</v>
      </c>
    </row>
    <row r="64" spans="1:14" x14ac:dyDescent="0.2">
      <c r="A64" s="23"/>
      <c r="B64" s="24" t="str">
        <f>'Rate Card'!A64</f>
        <v>DM</v>
      </c>
      <c r="C64" s="24" t="str">
        <f>'Rate Card'!B64</f>
        <v>Query generation (per visit) [Prospective]</v>
      </c>
      <c r="D64" s="24" t="str">
        <f>'Rate Card'!C64</f>
        <v>Service</v>
      </c>
      <c r="E64" s="24" t="str">
        <f>'Rate Card'!D64</f>
        <v>Per visit</v>
      </c>
      <c r="F64" s="25">
        <f t="shared" si="5"/>
        <v>0</v>
      </c>
      <c r="G64" s="26">
        <f>'Rate Card'!I64</f>
        <v>425</v>
      </c>
      <c r="H64" s="8"/>
      <c r="I64" s="27">
        <f t="shared" si="6"/>
        <v>0.22500000000000001</v>
      </c>
      <c r="J64" s="16">
        <f t="shared" si="7"/>
        <v>548</v>
      </c>
      <c r="K64" s="16">
        <f t="shared" si="8"/>
        <v>0</v>
      </c>
      <c r="L64" s="16">
        <f t="shared" si="9"/>
        <v>0</v>
      </c>
      <c r="M64" s="25">
        <f>$F64*N('Rate Card'!E64)</f>
        <v>0</v>
      </c>
      <c r="N64" s="25">
        <f>$F64*N('Rate Card'!G64)</f>
        <v>0</v>
      </c>
    </row>
    <row r="65" spans="1:14" x14ac:dyDescent="0.2">
      <c r="A65" s="23"/>
      <c r="B65" s="28" t="str">
        <f>'Rate Card'!A65</f>
        <v>DM</v>
      </c>
      <c r="C65" s="28" t="str">
        <f>'Rate Card'!B65</f>
        <v>Query resolution (per visit) [Prospective]</v>
      </c>
      <c r="D65" s="28" t="str">
        <f>'Rate Card'!C65</f>
        <v>Service</v>
      </c>
      <c r="E65" s="28" t="str">
        <f>'Rate Card'!D65</f>
        <v>Per visit</v>
      </c>
      <c r="F65" s="29">
        <f t="shared" si="5"/>
        <v>0</v>
      </c>
      <c r="G65" s="30">
        <f>'Rate Card'!I65</f>
        <v>425</v>
      </c>
      <c r="H65" s="8"/>
      <c r="I65" s="31">
        <f t="shared" si="6"/>
        <v>0.22500000000000001</v>
      </c>
      <c r="J65" s="20">
        <f t="shared" si="7"/>
        <v>548</v>
      </c>
      <c r="K65" s="20">
        <f t="shared" si="8"/>
        <v>0</v>
      </c>
      <c r="L65" s="20">
        <f t="shared" si="9"/>
        <v>0</v>
      </c>
      <c r="M65" s="29">
        <f>$F65*N('Rate Card'!E65)</f>
        <v>0</v>
      </c>
      <c r="N65" s="29">
        <f>$F65*N('Rate Card'!G65)</f>
        <v>0</v>
      </c>
    </row>
    <row r="66" spans="1:14" x14ac:dyDescent="0.2">
      <c r="A66" s="23"/>
      <c r="B66" s="24" t="str">
        <f>'Rate Card'!A66</f>
        <v>DM</v>
      </c>
      <c r="C66" s="24" t="str">
        <f>'Rate Card'!B66</f>
        <v>Final data harmonization [Prospective]</v>
      </c>
      <c r="D66" s="24" t="str">
        <f>'Rate Card'!C66</f>
        <v>Service</v>
      </c>
      <c r="E66" s="24" t="str">
        <f>'Rate Card'!D66</f>
        <v>Fixed</v>
      </c>
      <c r="F66" s="25">
        <f t="shared" ref="F66:F97" si="10">IF($A66="x",IFERROR(INDEX(DriverQty,MATCH($E66,DriverName,0)),0),0)</f>
        <v>0</v>
      </c>
      <c r="G66" s="26">
        <f>'Rate Card'!I66</f>
        <v>5525</v>
      </c>
      <c r="H66" s="8"/>
      <c r="I66" s="27">
        <f t="shared" ref="I66:I97" si="11">IF($D66="Pass-through",0,MAX(MarginFloor,IF($H66="",MarginLever,$H66)))</f>
        <v>0.22500000000000001</v>
      </c>
      <c r="J66" s="16">
        <f t="shared" ref="J66:J97" si="12">IF($D66="Pass-through",$G66,IF($I66&gt;=1,$G66,ROUND($G66/(1-$I66),0)))</f>
        <v>7129</v>
      </c>
      <c r="K66" s="16">
        <f t="shared" ref="K66:K97" si="13">$F66*$J66</f>
        <v>0</v>
      </c>
      <c r="L66" s="16">
        <f t="shared" ref="L66:L97" si="14">$F66*$G66</f>
        <v>0</v>
      </c>
      <c r="M66" s="25">
        <f>$F66*N('Rate Card'!E66)</f>
        <v>0</v>
      </c>
      <c r="N66" s="25">
        <f>$F66*N('Rate Card'!G66)</f>
        <v>0</v>
      </c>
    </row>
    <row r="67" spans="1:14" x14ac:dyDescent="0.2">
      <c r="A67" s="23" t="s">
        <v>239</v>
      </c>
      <c r="B67" s="28" t="str">
        <f>'Rate Card'!A67</f>
        <v>DM</v>
      </c>
      <c r="C67" s="28" t="str">
        <f>'Rate Card'!B67</f>
        <v>Data QC (per visit) [Retrospective]</v>
      </c>
      <c r="D67" s="28" t="str">
        <f>'Rate Card'!C67</f>
        <v>Service</v>
      </c>
      <c r="E67" s="28" t="str">
        <f>'Rate Card'!D67</f>
        <v>Per visit</v>
      </c>
      <c r="F67" s="29">
        <f t="shared" si="10"/>
        <v>750</v>
      </c>
      <c r="G67" s="30">
        <f>'Rate Card'!I67</f>
        <v>1700</v>
      </c>
      <c r="H67" s="8"/>
      <c r="I67" s="31">
        <f t="shared" si="11"/>
        <v>0.22500000000000001</v>
      </c>
      <c r="J67" s="20">
        <f t="shared" si="12"/>
        <v>2194</v>
      </c>
      <c r="K67" s="20">
        <f t="shared" si="13"/>
        <v>1645500</v>
      </c>
      <c r="L67" s="20">
        <f t="shared" si="14"/>
        <v>1275000</v>
      </c>
      <c r="M67" s="29">
        <f>$F67*N('Rate Card'!E67)</f>
        <v>1500</v>
      </c>
      <c r="N67" s="29">
        <f>$F67*N('Rate Card'!G67)</f>
        <v>0</v>
      </c>
    </row>
    <row r="68" spans="1:14" x14ac:dyDescent="0.2">
      <c r="A68" s="23" t="s">
        <v>239</v>
      </c>
      <c r="B68" s="24" t="str">
        <f>'Rate Card'!A68</f>
        <v>DM</v>
      </c>
      <c r="C68" s="24" t="str">
        <f>'Rate Card'!B68</f>
        <v>Query generation (per visit) [Retrospective]</v>
      </c>
      <c r="D68" s="24" t="str">
        <f>'Rate Card'!C68</f>
        <v>Service</v>
      </c>
      <c r="E68" s="24" t="str">
        <f>'Rate Card'!D68</f>
        <v>Per visit</v>
      </c>
      <c r="F68" s="25">
        <f t="shared" si="10"/>
        <v>750</v>
      </c>
      <c r="G68" s="26">
        <f>'Rate Card'!I68</f>
        <v>850</v>
      </c>
      <c r="H68" s="8"/>
      <c r="I68" s="27">
        <f t="shared" si="11"/>
        <v>0.22500000000000001</v>
      </c>
      <c r="J68" s="16">
        <f t="shared" si="12"/>
        <v>1097</v>
      </c>
      <c r="K68" s="16">
        <f t="shared" si="13"/>
        <v>822750</v>
      </c>
      <c r="L68" s="16">
        <f t="shared" si="14"/>
        <v>637500</v>
      </c>
      <c r="M68" s="25">
        <f>$F68*N('Rate Card'!E68)</f>
        <v>750</v>
      </c>
      <c r="N68" s="25">
        <f>$F68*N('Rate Card'!G68)</f>
        <v>0</v>
      </c>
    </row>
    <row r="69" spans="1:14" x14ac:dyDescent="0.2">
      <c r="A69" s="23" t="s">
        <v>239</v>
      </c>
      <c r="B69" s="28" t="str">
        <f>'Rate Card'!A69</f>
        <v>DM</v>
      </c>
      <c r="C69" s="28" t="str">
        <f>'Rate Card'!B69</f>
        <v>Query resolution (per visit) [Retrospective]</v>
      </c>
      <c r="D69" s="28" t="str">
        <f>'Rate Card'!C69</f>
        <v>Service</v>
      </c>
      <c r="E69" s="28" t="str">
        <f>'Rate Card'!D69</f>
        <v>Per visit</v>
      </c>
      <c r="F69" s="29">
        <f t="shared" si="10"/>
        <v>750</v>
      </c>
      <c r="G69" s="30">
        <f>'Rate Card'!I69</f>
        <v>850</v>
      </c>
      <c r="H69" s="8"/>
      <c r="I69" s="31">
        <f t="shared" si="11"/>
        <v>0.22500000000000001</v>
      </c>
      <c r="J69" s="20">
        <f t="shared" si="12"/>
        <v>1097</v>
      </c>
      <c r="K69" s="20">
        <f t="shared" si="13"/>
        <v>822750</v>
      </c>
      <c r="L69" s="20">
        <f t="shared" si="14"/>
        <v>637500</v>
      </c>
      <c r="M69" s="29">
        <f>$F69*N('Rate Card'!E69)</f>
        <v>750</v>
      </c>
      <c r="N69" s="29">
        <f>$F69*N('Rate Card'!G69)</f>
        <v>0</v>
      </c>
    </row>
    <row r="70" spans="1:14" x14ac:dyDescent="0.2">
      <c r="A70" s="23" t="s">
        <v>239</v>
      </c>
      <c r="B70" s="24" t="str">
        <f>'Rate Card'!A70</f>
        <v>DM</v>
      </c>
      <c r="C70" s="24" t="str">
        <f>'Rate Card'!B70</f>
        <v>Final data harmonization [Retrospective]</v>
      </c>
      <c r="D70" s="24" t="str">
        <f>'Rate Card'!C70</f>
        <v>Service</v>
      </c>
      <c r="E70" s="24" t="str">
        <f>'Rate Card'!D70</f>
        <v>Fixed</v>
      </c>
      <c r="F70" s="25">
        <f t="shared" si="10"/>
        <v>1</v>
      </c>
      <c r="G70" s="26">
        <f>'Rate Card'!I70</f>
        <v>5525</v>
      </c>
      <c r="H70" s="8"/>
      <c r="I70" s="27">
        <f t="shared" si="11"/>
        <v>0.22500000000000001</v>
      </c>
      <c r="J70" s="16">
        <f t="shared" si="12"/>
        <v>7129</v>
      </c>
      <c r="K70" s="16">
        <f t="shared" si="13"/>
        <v>7129</v>
      </c>
      <c r="L70" s="16">
        <f t="shared" si="14"/>
        <v>5525</v>
      </c>
      <c r="M70" s="25">
        <f>$F70*N('Rate Card'!E70)</f>
        <v>6.5</v>
      </c>
      <c r="N70" s="25">
        <f>$F70*N('Rate Card'!G70)</f>
        <v>0</v>
      </c>
    </row>
    <row r="71" spans="1:14" x14ac:dyDescent="0.2">
      <c r="A71" s="23"/>
      <c r="B71" s="28" t="str">
        <f>'Rate Card'!A71</f>
        <v>PM</v>
      </c>
      <c r="C71" s="28" t="str">
        <f>'Rate Card'!B71</f>
        <v>Protocol Training</v>
      </c>
      <c r="D71" s="28" t="str">
        <f>'Rate Card'!C71</f>
        <v>Service</v>
      </c>
      <c r="E71" s="28" t="str">
        <f>'Rate Card'!D71</f>
        <v>Fixed</v>
      </c>
      <c r="F71" s="29">
        <f t="shared" si="10"/>
        <v>0</v>
      </c>
      <c r="G71" s="30">
        <f>'Rate Card'!I71</f>
        <v>8400</v>
      </c>
      <c r="H71" s="8"/>
      <c r="I71" s="31">
        <f t="shared" si="11"/>
        <v>0.22500000000000001</v>
      </c>
      <c r="J71" s="20">
        <f t="shared" si="12"/>
        <v>10839</v>
      </c>
      <c r="K71" s="20">
        <f t="shared" si="13"/>
        <v>0</v>
      </c>
      <c r="L71" s="20">
        <f t="shared" si="14"/>
        <v>0</v>
      </c>
      <c r="M71" s="29">
        <f>$F71*N('Rate Card'!E71)</f>
        <v>0</v>
      </c>
      <c r="N71" s="29">
        <f>$F71*N('Rate Card'!G71)</f>
        <v>0</v>
      </c>
    </row>
    <row r="72" spans="1:14" x14ac:dyDescent="0.2">
      <c r="A72" s="23" t="s">
        <v>239</v>
      </c>
      <c r="B72" s="24" t="str">
        <f>'Rate Card'!A72</f>
        <v>PM</v>
      </c>
      <c r="C72" s="24" t="str">
        <f>'Rate Card'!B72</f>
        <v>Project Plan Development</v>
      </c>
      <c r="D72" s="24" t="str">
        <f>'Rate Card'!C72</f>
        <v>Service</v>
      </c>
      <c r="E72" s="24" t="str">
        <f>'Rate Card'!D72</f>
        <v>Fixed</v>
      </c>
      <c r="F72" s="25">
        <f t="shared" si="10"/>
        <v>1</v>
      </c>
      <c r="G72" s="26">
        <f>'Rate Card'!I72</f>
        <v>57000</v>
      </c>
      <c r="H72" s="8"/>
      <c r="I72" s="27">
        <f t="shared" si="11"/>
        <v>0.22500000000000001</v>
      </c>
      <c r="J72" s="16">
        <f t="shared" si="12"/>
        <v>73548</v>
      </c>
      <c r="K72" s="16">
        <f t="shared" si="13"/>
        <v>73548</v>
      </c>
      <c r="L72" s="16">
        <f t="shared" si="14"/>
        <v>57000</v>
      </c>
      <c r="M72" s="25">
        <f>$F72*N('Rate Card'!E72)</f>
        <v>40</v>
      </c>
      <c r="N72" s="25">
        <f>$F72*N('Rate Card'!G72)</f>
        <v>1</v>
      </c>
    </row>
    <row r="73" spans="1:14" x14ac:dyDescent="0.2">
      <c r="A73" s="23"/>
      <c r="B73" s="28" t="str">
        <f>'Rate Card'!A73</f>
        <v>PM</v>
      </c>
      <c r="C73" s="28" t="str">
        <f>'Rate Card'!B73</f>
        <v>PMP Development</v>
      </c>
      <c r="D73" s="28" t="str">
        <f>'Rate Card'!C73</f>
        <v>Service</v>
      </c>
      <c r="E73" s="28" t="str">
        <f>'Rate Card'!D73</f>
        <v>Fixed</v>
      </c>
      <c r="F73" s="29">
        <f t="shared" si="10"/>
        <v>0</v>
      </c>
      <c r="G73" s="30">
        <f>'Rate Card'!I73</f>
        <v>54000</v>
      </c>
      <c r="H73" s="8"/>
      <c r="I73" s="31">
        <f t="shared" si="11"/>
        <v>0.22500000000000001</v>
      </c>
      <c r="J73" s="20">
        <f t="shared" si="12"/>
        <v>69677</v>
      </c>
      <c r="K73" s="20">
        <f t="shared" si="13"/>
        <v>0</v>
      </c>
      <c r="L73" s="20">
        <f t="shared" si="14"/>
        <v>0</v>
      </c>
      <c r="M73" s="29">
        <f>$F73*N('Rate Card'!E73)</f>
        <v>0</v>
      </c>
      <c r="N73" s="29">
        <f>$F73*N('Rate Card'!G73)</f>
        <v>0</v>
      </c>
    </row>
    <row r="74" spans="1:14" x14ac:dyDescent="0.2">
      <c r="A74" s="23"/>
      <c r="B74" s="24" t="str">
        <f>'Rate Card'!A74</f>
        <v>PM</v>
      </c>
      <c r="C74" s="24" t="str">
        <f>'Rate Card'!B74</f>
        <v>Study Plans</v>
      </c>
      <c r="D74" s="24" t="str">
        <f>'Rate Card'!C74</f>
        <v>Service</v>
      </c>
      <c r="E74" s="24" t="str">
        <f>'Rate Card'!D74</f>
        <v>Fixed</v>
      </c>
      <c r="F74" s="25">
        <f t="shared" si="10"/>
        <v>0</v>
      </c>
      <c r="G74" s="26">
        <f>'Rate Card'!I74</f>
        <v>108000</v>
      </c>
      <c r="H74" s="8"/>
      <c r="I74" s="27">
        <f t="shared" si="11"/>
        <v>0.22500000000000001</v>
      </c>
      <c r="J74" s="16">
        <f t="shared" si="12"/>
        <v>139355</v>
      </c>
      <c r="K74" s="16">
        <f t="shared" si="13"/>
        <v>0</v>
      </c>
      <c r="L74" s="16">
        <f t="shared" si="14"/>
        <v>0</v>
      </c>
      <c r="M74" s="25">
        <f>$F74*N('Rate Card'!E74)</f>
        <v>0</v>
      </c>
      <c r="N74" s="25">
        <f>$F74*N('Rate Card'!G74)</f>
        <v>0</v>
      </c>
    </row>
    <row r="75" spans="1:14" x14ac:dyDescent="0.2">
      <c r="A75" s="23" t="s">
        <v>239</v>
      </c>
      <c r="B75" s="28" t="str">
        <f>'Rate Card'!A75</f>
        <v>PM</v>
      </c>
      <c r="C75" s="28" t="str">
        <f>'Rate Card'!B75</f>
        <v>KO preparation &amp; meeting</v>
      </c>
      <c r="D75" s="28" t="str">
        <f>'Rate Card'!C75</f>
        <v>Service</v>
      </c>
      <c r="E75" s="28" t="str">
        <f>'Rate Card'!D75</f>
        <v>Fixed</v>
      </c>
      <c r="F75" s="29">
        <f t="shared" si="10"/>
        <v>1</v>
      </c>
      <c r="G75" s="30">
        <f>'Rate Card'!I75</f>
        <v>5400</v>
      </c>
      <c r="H75" s="8"/>
      <c r="I75" s="31">
        <f t="shared" si="11"/>
        <v>0.22500000000000001</v>
      </c>
      <c r="J75" s="20">
        <f t="shared" si="12"/>
        <v>6968</v>
      </c>
      <c r="K75" s="20">
        <f t="shared" si="13"/>
        <v>6968</v>
      </c>
      <c r="L75" s="20">
        <f t="shared" si="14"/>
        <v>5400</v>
      </c>
      <c r="M75" s="29">
        <f>$F75*N('Rate Card'!E75)</f>
        <v>4</v>
      </c>
      <c r="N75" s="29">
        <f>$F75*N('Rate Card'!G75)</f>
        <v>0</v>
      </c>
    </row>
    <row r="76" spans="1:14" x14ac:dyDescent="0.2">
      <c r="A76" s="23"/>
      <c r="B76" s="24" t="str">
        <f>'Rate Card'!A76</f>
        <v>PM</v>
      </c>
      <c r="C76" s="24" t="str">
        <f>'Rate Card'!B76</f>
        <v>TMF Management (per site)</v>
      </c>
      <c r="D76" s="24" t="str">
        <f>'Rate Card'!C76</f>
        <v>Service</v>
      </c>
      <c r="E76" s="24" t="str">
        <f>'Rate Card'!D76</f>
        <v>Per site</v>
      </c>
      <c r="F76" s="25">
        <f t="shared" si="10"/>
        <v>0</v>
      </c>
      <c r="G76" s="26">
        <f>'Rate Card'!I76</f>
        <v>54000</v>
      </c>
      <c r="H76" s="8"/>
      <c r="I76" s="27">
        <f t="shared" si="11"/>
        <v>0.22500000000000001</v>
      </c>
      <c r="J76" s="16">
        <f t="shared" si="12"/>
        <v>69677</v>
      </c>
      <c r="K76" s="16">
        <f t="shared" si="13"/>
        <v>0</v>
      </c>
      <c r="L76" s="16">
        <f t="shared" si="14"/>
        <v>0</v>
      </c>
      <c r="M76" s="25">
        <f>$F76*N('Rate Card'!E76)</f>
        <v>0</v>
      </c>
      <c r="N76" s="25">
        <f>$F76*N('Rate Card'!G76)</f>
        <v>0</v>
      </c>
    </row>
    <row r="77" spans="1:14" x14ac:dyDescent="0.2">
      <c r="A77" s="23"/>
      <c r="B77" s="28" t="str">
        <f>'Rate Card'!A77</f>
        <v>PM</v>
      </c>
      <c r="C77" s="28" t="str">
        <f>'Rate Card'!B77</f>
        <v>Liasioning with Interdepartments on Client Review and Finalization, Data Analysis, Report Finalization, Tech Team Guidance on CRF Deployment, Quality Management and Compliance</v>
      </c>
      <c r="D77" s="28" t="str">
        <f>'Rate Card'!C77</f>
        <v>Service</v>
      </c>
      <c r="E77" s="28" t="str">
        <f>'Rate Card'!D77</f>
        <v>Fixed</v>
      </c>
      <c r="F77" s="29">
        <f t="shared" si="10"/>
        <v>0</v>
      </c>
      <c r="G77" s="30">
        <f>'Rate Card'!I77</f>
        <v>135000</v>
      </c>
      <c r="H77" s="8"/>
      <c r="I77" s="31">
        <f t="shared" si="11"/>
        <v>0.22500000000000001</v>
      </c>
      <c r="J77" s="20">
        <f t="shared" si="12"/>
        <v>174194</v>
      </c>
      <c r="K77" s="20">
        <f t="shared" si="13"/>
        <v>0</v>
      </c>
      <c r="L77" s="20">
        <f t="shared" si="14"/>
        <v>0</v>
      </c>
      <c r="M77" s="29">
        <f>$F77*N('Rate Card'!E77)</f>
        <v>0</v>
      </c>
      <c r="N77" s="29">
        <f>$F77*N('Rate Card'!G77)</f>
        <v>0</v>
      </c>
    </row>
    <row r="78" spans="1:14" x14ac:dyDescent="0.2">
      <c r="A78" s="23" t="s">
        <v>239</v>
      </c>
      <c r="B78" s="24" t="str">
        <f>'Rate Card'!A78</f>
        <v>PM</v>
      </c>
      <c r="C78" s="24" t="str">
        <f>'Rate Card'!B78</f>
        <v>Study Progress Calls (Daily Progress Update and Tracking, PPT, MoM and Internal Update Calls) per site per month</v>
      </c>
      <c r="D78" s="24" t="str">
        <f>'Rate Card'!C78</f>
        <v>Service</v>
      </c>
      <c r="E78" s="24" t="str">
        <f>'Rate Card'!D78</f>
        <v>Per site-month</v>
      </c>
      <c r="F78" s="25">
        <f t="shared" si="10"/>
        <v>60</v>
      </c>
      <c r="G78" s="26">
        <f>'Rate Card'!I78</f>
        <v>5400</v>
      </c>
      <c r="H78" s="8"/>
      <c r="I78" s="27">
        <f t="shared" si="11"/>
        <v>0.22500000000000001</v>
      </c>
      <c r="J78" s="16">
        <f t="shared" si="12"/>
        <v>6968</v>
      </c>
      <c r="K78" s="16">
        <f t="shared" si="13"/>
        <v>418080</v>
      </c>
      <c r="L78" s="16">
        <f t="shared" si="14"/>
        <v>324000</v>
      </c>
      <c r="M78" s="25">
        <f>$F78*N('Rate Card'!E78)</f>
        <v>240</v>
      </c>
      <c r="N78" s="25">
        <f>$F78*N('Rate Card'!G78)</f>
        <v>0</v>
      </c>
    </row>
    <row r="79" spans="1:14" x14ac:dyDescent="0.2">
      <c r="A79" s="23"/>
      <c r="B79" s="28" t="str">
        <f>'Rate Card'!A79</f>
        <v>PM</v>
      </c>
      <c r="C79" s="28" t="str">
        <f>'Rate Card'!B79</f>
        <v>Client calls weekly</v>
      </c>
      <c r="D79" s="28" t="str">
        <f>'Rate Card'!C79</f>
        <v>Service</v>
      </c>
      <c r="E79" s="28" t="str">
        <f>'Rate Card'!D79</f>
        <v>Per week</v>
      </c>
      <c r="F79" s="29">
        <f t="shared" si="10"/>
        <v>0</v>
      </c>
      <c r="G79" s="30">
        <f>'Rate Card'!I79</f>
        <v>62700</v>
      </c>
      <c r="H79" s="8"/>
      <c r="I79" s="31">
        <f t="shared" si="11"/>
        <v>0.22500000000000001</v>
      </c>
      <c r="J79" s="20">
        <f t="shared" si="12"/>
        <v>80903</v>
      </c>
      <c r="K79" s="20">
        <f t="shared" si="13"/>
        <v>0</v>
      </c>
      <c r="L79" s="20">
        <f t="shared" si="14"/>
        <v>0</v>
      </c>
      <c r="M79" s="29">
        <f>$F79*N('Rate Card'!E79)</f>
        <v>0</v>
      </c>
      <c r="N79" s="29">
        <f>$F79*N('Rate Card'!G79)</f>
        <v>0</v>
      </c>
    </row>
    <row r="80" spans="1:14" x14ac:dyDescent="0.2">
      <c r="A80" s="23"/>
      <c r="B80" s="24" t="str">
        <f>'Rate Card'!A80</f>
        <v>PM</v>
      </c>
      <c r="C80" s="24" t="str">
        <f>'Rate Card'!B80</f>
        <v>Vendor Management</v>
      </c>
      <c r="D80" s="24" t="str">
        <f>'Rate Card'!C80</f>
        <v>Service</v>
      </c>
      <c r="E80" s="24" t="str">
        <f>'Rate Card'!D80</f>
        <v>Fixed</v>
      </c>
      <c r="F80" s="25">
        <f t="shared" si="10"/>
        <v>0</v>
      </c>
      <c r="G80" s="26">
        <f>'Rate Card'!I80</f>
        <v>10800</v>
      </c>
      <c r="H80" s="8"/>
      <c r="I80" s="27">
        <f t="shared" si="11"/>
        <v>0.22500000000000001</v>
      </c>
      <c r="J80" s="16">
        <f t="shared" si="12"/>
        <v>13935</v>
      </c>
      <c r="K80" s="16">
        <f t="shared" si="13"/>
        <v>0</v>
      </c>
      <c r="L80" s="16">
        <f t="shared" si="14"/>
        <v>0</v>
      </c>
      <c r="M80" s="25">
        <f>$F80*N('Rate Card'!E80)</f>
        <v>0</v>
      </c>
      <c r="N80" s="25">
        <f>$F80*N('Rate Card'!G80)</f>
        <v>0</v>
      </c>
    </row>
    <row r="81" spans="1:14" x14ac:dyDescent="0.2">
      <c r="A81" s="23" t="s">
        <v>239</v>
      </c>
      <c r="B81" s="28" t="str">
        <f>'Rate Card'!A81</f>
        <v>PM</v>
      </c>
      <c r="C81" s="28" t="str">
        <f>'Rate Card'!B81</f>
        <v>Project Close-out</v>
      </c>
      <c r="D81" s="28" t="str">
        <f>'Rate Card'!C81</f>
        <v>Service</v>
      </c>
      <c r="E81" s="28" t="str">
        <f>'Rate Card'!D81</f>
        <v>Fixed</v>
      </c>
      <c r="F81" s="29">
        <f t="shared" si="10"/>
        <v>1</v>
      </c>
      <c r="G81" s="30">
        <f>'Rate Card'!I81</f>
        <v>108000</v>
      </c>
      <c r="H81" s="8"/>
      <c r="I81" s="31">
        <f t="shared" si="11"/>
        <v>0.22500000000000001</v>
      </c>
      <c r="J81" s="20">
        <f t="shared" si="12"/>
        <v>139355</v>
      </c>
      <c r="K81" s="20">
        <f t="shared" si="13"/>
        <v>139355</v>
      </c>
      <c r="L81" s="20">
        <f t="shared" si="14"/>
        <v>108000</v>
      </c>
      <c r="M81" s="29">
        <f>$F81*N('Rate Card'!E81)</f>
        <v>80</v>
      </c>
      <c r="N81" s="29">
        <f>$F81*N('Rate Card'!G81)</f>
        <v>0</v>
      </c>
    </row>
    <row r="82" spans="1:14" x14ac:dyDescent="0.2">
      <c r="A82" s="23"/>
      <c r="B82" s="24" t="str">
        <f>'Rate Card'!A82</f>
        <v>SM</v>
      </c>
      <c r="C82" s="24" t="str">
        <f>'Rate Card'!B82</f>
        <v>Daily follow-up</v>
      </c>
      <c r="D82" s="24" t="str">
        <f>'Rate Card'!C82</f>
        <v>Service</v>
      </c>
      <c r="E82" s="24" t="str">
        <f>'Rate Card'!D82</f>
        <v>Per site-month</v>
      </c>
      <c r="F82" s="25">
        <f t="shared" si="10"/>
        <v>0</v>
      </c>
      <c r="G82" s="26">
        <f>'Rate Card'!I82</f>
        <v>275</v>
      </c>
      <c r="H82" s="8"/>
      <c r="I82" s="27">
        <f t="shared" si="11"/>
        <v>0.22500000000000001</v>
      </c>
      <c r="J82" s="16">
        <f t="shared" si="12"/>
        <v>355</v>
      </c>
      <c r="K82" s="16">
        <f t="shared" si="13"/>
        <v>0</v>
      </c>
      <c r="L82" s="16">
        <f t="shared" si="14"/>
        <v>0</v>
      </c>
      <c r="M82" s="25">
        <f>$F82*N('Rate Card'!E82)</f>
        <v>0</v>
      </c>
      <c r="N82" s="25">
        <f>$F82*N('Rate Card'!G82)</f>
        <v>0</v>
      </c>
    </row>
    <row r="83" spans="1:14" x14ac:dyDescent="0.2">
      <c r="A83" s="23"/>
      <c r="B83" s="28" t="str">
        <f>'Rate Card'!A83</f>
        <v>SM</v>
      </c>
      <c r="C83" s="28" t="str">
        <f>'Rate Card'!B83</f>
        <v>Documentation</v>
      </c>
      <c r="D83" s="28" t="str">
        <f>'Rate Card'!C83</f>
        <v>Service</v>
      </c>
      <c r="E83" s="28" t="str">
        <f>'Rate Card'!D83</f>
        <v>Per site-month</v>
      </c>
      <c r="F83" s="29">
        <f t="shared" si="10"/>
        <v>0</v>
      </c>
      <c r="G83" s="30">
        <f>'Rate Card'!I83</f>
        <v>275</v>
      </c>
      <c r="H83" s="8"/>
      <c r="I83" s="31">
        <f t="shared" si="11"/>
        <v>0.22500000000000001</v>
      </c>
      <c r="J83" s="20">
        <f t="shared" si="12"/>
        <v>355</v>
      </c>
      <c r="K83" s="20">
        <f t="shared" si="13"/>
        <v>0</v>
      </c>
      <c r="L83" s="20">
        <f t="shared" si="14"/>
        <v>0</v>
      </c>
      <c r="M83" s="29">
        <f>$F83*N('Rate Card'!E83)</f>
        <v>0</v>
      </c>
      <c r="N83" s="29">
        <f>$F83*N('Rate Card'!G83)</f>
        <v>0</v>
      </c>
    </row>
    <row r="84" spans="1:14" x14ac:dyDescent="0.2">
      <c r="A84" s="23"/>
      <c r="B84" s="24" t="str">
        <f>'Rate Card'!A84</f>
        <v>SM</v>
      </c>
      <c r="C84" s="24" t="str">
        <f>'Rate Card'!B84</f>
        <v>EDC verification</v>
      </c>
      <c r="D84" s="24" t="str">
        <f>'Rate Card'!C84</f>
        <v>Service</v>
      </c>
      <c r="E84" s="24" t="str">
        <f>'Rate Card'!D84</f>
        <v>Per site</v>
      </c>
      <c r="F84" s="25">
        <f t="shared" si="10"/>
        <v>0</v>
      </c>
      <c r="G84" s="26">
        <f>'Rate Card'!I84</f>
        <v>11000</v>
      </c>
      <c r="H84" s="8"/>
      <c r="I84" s="27">
        <f t="shared" si="11"/>
        <v>0.22500000000000001</v>
      </c>
      <c r="J84" s="16">
        <f t="shared" si="12"/>
        <v>14194</v>
      </c>
      <c r="K84" s="16">
        <f t="shared" si="13"/>
        <v>0</v>
      </c>
      <c r="L84" s="16">
        <f t="shared" si="14"/>
        <v>0</v>
      </c>
      <c r="M84" s="25">
        <f>$F84*N('Rate Card'!E84)</f>
        <v>0</v>
      </c>
      <c r="N84" s="25">
        <f>$F84*N('Rate Card'!G84)</f>
        <v>0</v>
      </c>
    </row>
    <row r="85" spans="1:14" x14ac:dyDescent="0.2">
      <c r="A85" s="23"/>
      <c r="B85" s="28" t="str">
        <f>'Rate Card'!A85</f>
        <v>SM</v>
      </c>
      <c r="C85" s="28" t="str">
        <f>'Rate Card'!B85</f>
        <v>Query resolutions</v>
      </c>
      <c r="D85" s="28" t="str">
        <f>'Rate Card'!C85</f>
        <v>Service</v>
      </c>
      <c r="E85" s="28" t="str">
        <f>'Rate Card'!D85</f>
        <v>Per site</v>
      </c>
      <c r="F85" s="29">
        <f t="shared" si="10"/>
        <v>0</v>
      </c>
      <c r="G85" s="30">
        <f>'Rate Card'!I85</f>
        <v>8800</v>
      </c>
      <c r="H85" s="8"/>
      <c r="I85" s="31">
        <f t="shared" si="11"/>
        <v>0.22500000000000001</v>
      </c>
      <c r="J85" s="20">
        <f t="shared" si="12"/>
        <v>11355</v>
      </c>
      <c r="K85" s="20">
        <f t="shared" si="13"/>
        <v>0</v>
      </c>
      <c r="L85" s="20">
        <f t="shared" si="14"/>
        <v>0</v>
      </c>
      <c r="M85" s="29">
        <f>$F85*N('Rate Card'!E85)</f>
        <v>0</v>
      </c>
      <c r="N85" s="29">
        <f>$F85*N('Rate Card'!G85)</f>
        <v>0</v>
      </c>
    </row>
    <row r="86" spans="1:14" x14ac:dyDescent="0.2">
      <c r="A86" s="23"/>
      <c r="B86" s="24" t="str">
        <f>'Rate Card'!A86</f>
        <v>SM</v>
      </c>
      <c r="C86" s="24" t="str">
        <f>'Rate Card'!B86</f>
        <v>Site re-training</v>
      </c>
      <c r="D86" s="24" t="str">
        <f>'Rate Card'!C86</f>
        <v>Service</v>
      </c>
      <c r="E86" s="24" t="str">
        <f>'Rate Card'!D86</f>
        <v>Per site</v>
      </c>
      <c r="F86" s="25">
        <f t="shared" si="10"/>
        <v>0</v>
      </c>
      <c r="G86" s="26">
        <f>'Rate Card'!I86</f>
        <v>4400</v>
      </c>
      <c r="H86" s="8"/>
      <c r="I86" s="27">
        <f t="shared" si="11"/>
        <v>0.22500000000000001</v>
      </c>
      <c r="J86" s="16">
        <f t="shared" si="12"/>
        <v>5677</v>
      </c>
      <c r="K86" s="16">
        <f t="shared" si="13"/>
        <v>0</v>
      </c>
      <c r="L86" s="16">
        <f t="shared" si="14"/>
        <v>0</v>
      </c>
      <c r="M86" s="25">
        <f>$F86*N('Rate Card'!E86)</f>
        <v>0</v>
      </c>
      <c r="N86" s="25">
        <f>$F86*N('Rate Card'!G86)</f>
        <v>0</v>
      </c>
    </row>
    <row r="87" spans="1:14" x14ac:dyDescent="0.2">
      <c r="A87" s="23"/>
      <c r="B87" s="28" t="str">
        <f>'Rate Card'!A87</f>
        <v>SM</v>
      </c>
      <c r="C87" s="28" t="str">
        <f>'Rate Card'!B87</f>
        <v>SIV preparation</v>
      </c>
      <c r="D87" s="28" t="str">
        <f>'Rate Card'!C87</f>
        <v>Service</v>
      </c>
      <c r="E87" s="28" t="str">
        <f>'Rate Card'!D87</f>
        <v>Per site</v>
      </c>
      <c r="F87" s="29">
        <f t="shared" si="10"/>
        <v>0</v>
      </c>
      <c r="G87" s="30">
        <f>'Rate Card'!I87</f>
        <v>22000</v>
      </c>
      <c r="H87" s="8"/>
      <c r="I87" s="31">
        <f t="shared" si="11"/>
        <v>0.22500000000000001</v>
      </c>
      <c r="J87" s="20">
        <f t="shared" si="12"/>
        <v>28387</v>
      </c>
      <c r="K87" s="20">
        <f t="shared" si="13"/>
        <v>0</v>
      </c>
      <c r="L87" s="20">
        <f t="shared" si="14"/>
        <v>0</v>
      </c>
      <c r="M87" s="29">
        <f>$F87*N('Rate Card'!E87)</f>
        <v>0</v>
      </c>
      <c r="N87" s="29">
        <f>$F87*N('Rate Card'!G87)</f>
        <v>0</v>
      </c>
    </row>
    <row r="88" spans="1:14" x14ac:dyDescent="0.2">
      <c r="A88" s="23"/>
      <c r="B88" s="24" t="str">
        <f>'Rate Card'!A88</f>
        <v>SM</v>
      </c>
      <c r="C88" s="24" t="str">
        <f>'Rate Card'!B88</f>
        <v>SIV</v>
      </c>
      <c r="D88" s="24" t="str">
        <f>'Rate Card'!C88</f>
        <v>Service</v>
      </c>
      <c r="E88" s="24" t="str">
        <f>'Rate Card'!D88</f>
        <v>Per site</v>
      </c>
      <c r="F88" s="25">
        <f t="shared" si="10"/>
        <v>0</v>
      </c>
      <c r="G88" s="26">
        <f>'Rate Card'!I88</f>
        <v>17600</v>
      </c>
      <c r="H88" s="8"/>
      <c r="I88" s="27">
        <f t="shared" si="11"/>
        <v>0.22500000000000001</v>
      </c>
      <c r="J88" s="16">
        <f t="shared" si="12"/>
        <v>22710</v>
      </c>
      <c r="K88" s="16">
        <f t="shared" si="13"/>
        <v>0</v>
      </c>
      <c r="L88" s="16">
        <f t="shared" si="14"/>
        <v>0</v>
      </c>
      <c r="M88" s="25">
        <f>$F88*N('Rate Card'!E88)</f>
        <v>0</v>
      </c>
      <c r="N88" s="25">
        <f>$F88*N('Rate Card'!G88)</f>
        <v>0</v>
      </c>
    </row>
    <row r="89" spans="1:14" x14ac:dyDescent="0.2">
      <c r="A89" s="23"/>
      <c r="B89" s="28" t="str">
        <f>'Rate Card'!A89</f>
        <v>SM</v>
      </c>
      <c r="C89" s="28" t="str">
        <f>'Rate Card'!B89</f>
        <v>SMV preparation</v>
      </c>
      <c r="D89" s="28" t="str">
        <f>'Rate Card'!C89</f>
        <v>Service</v>
      </c>
      <c r="E89" s="28" t="str">
        <f>'Rate Card'!D89</f>
        <v>Per monitoring visit</v>
      </c>
      <c r="F89" s="29">
        <f t="shared" si="10"/>
        <v>0</v>
      </c>
      <c r="G89" s="30">
        <f>'Rate Card'!I89</f>
        <v>8800</v>
      </c>
      <c r="H89" s="8"/>
      <c r="I89" s="31">
        <f t="shared" si="11"/>
        <v>0.22500000000000001</v>
      </c>
      <c r="J89" s="20">
        <f t="shared" si="12"/>
        <v>11355</v>
      </c>
      <c r="K89" s="20">
        <f t="shared" si="13"/>
        <v>0</v>
      </c>
      <c r="L89" s="20">
        <f t="shared" si="14"/>
        <v>0</v>
      </c>
      <c r="M89" s="29">
        <f>$F89*N('Rate Card'!E89)</f>
        <v>0</v>
      </c>
      <c r="N89" s="29">
        <f>$F89*N('Rate Card'!G89)</f>
        <v>0</v>
      </c>
    </row>
    <row r="90" spans="1:14" x14ac:dyDescent="0.2">
      <c r="A90" s="23"/>
      <c r="B90" s="24" t="str">
        <f>'Rate Card'!A90</f>
        <v>SM</v>
      </c>
      <c r="C90" s="24" t="str">
        <f>'Rate Card'!B90</f>
        <v>SMV</v>
      </c>
      <c r="D90" s="24" t="str">
        <f>'Rate Card'!C90</f>
        <v>Service</v>
      </c>
      <c r="E90" s="24" t="str">
        <f>'Rate Card'!D90</f>
        <v>Per monitoring visit</v>
      </c>
      <c r="F90" s="25">
        <f t="shared" si="10"/>
        <v>0</v>
      </c>
      <c r="G90" s="26">
        <f>'Rate Card'!I90</f>
        <v>17600</v>
      </c>
      <c r="H90" s="8"/>
      <c r="I90" s="27">
        <f t="shared" si="11"/>
        <v>0.22500000000000001</v>
      </c>
      <c r="J90" s="16">
        <f t="shared" si="12"/>
        <v>22710</v>
      </c>
      <c r="K90" s="16">
        <f t="shared" si="13"/>
        <v>0</v>
      </c>
      <c r="L90" s="16">
        <f t="shared" si="14"/>
        <v>0</v>
      </c>
      <c r="M90" s="25">
        <f>$F90*N('Rate Card'!E90)</f>
        <v>0</v>
      </c>
      <c r="N90" s="25">
        <f>$F90*N('Rate Card'!G90)</f>
        <v>0</v>
      </c>
    </row>
    <row r="91" spans="1:14" x14ac:dyDescent="0.2">
      <c r="A91" s="23"/>
      <c r="B91" s="28" t="str">
        <f>'Rate Card'!A91</f>
        <v>SM</v>
      </c>
      <c r="C91" s="28" t="str">
        <f>'Rate Card'!B91</f>
        <v>SCV Preparation</v>
      </c>
      <c r="D91" s="28" t="str">
        <f>'Rate Card'!C91</f>
        <v>Service</v>
      </c>
      <c r="E91" s="28" t="str">
        <f>'Rate Card'!D91</f>
        <v>Per site</v>
      </c>
      <c r="F91" s="29">
        <f t="shared" si="10"/>
        <v>0</v>
      </c>
      <c r="G91" s="30">
        <f>'Rate Card'!I91</f>
        <v>17600</v>
      </c>
      <c r="H91" s="8"/>
      <c r="I91" s="31">
        <f t="shared" si="11"/>
        <v>0.22500000000000001</v>
      </c>
      <c r="J91" s="20">
        <f t="shared" si="12"/>
        <v>22710</v>
      </c>
      <c r="K91" s="20">
        <f t="shared" si="13"/>
        <v>0</v>
      </c>
      <c r="L91" s="20">
        <f t="shared" si="14"/>
        <v>0</v>
      </c>
      <c r="M91" s="29">
        <f>$F91*N('Rate Card'!E91)</f>
        <v>0</v>
      </c>
      <c r="N91" s="29">
        <f>$F91*N('Rate Card'!G91)</f>
        <v>0</v>
      </c>
    </row>
    <row r="92" spans="1:14" x14ac:dyDescent="0.2">
      <c r="A92" s="23"/>
      <c r="B92" s="24" t="str">
        <f>'Rate Card'!A92</f>
        <v>SM</v>
      </c>
      <c r="C92" s="24" t="str">
        <f>'Rate Card'!B92</f>
        <v>SCV</v>
      </c>
      <c r="D92" s="24" t="str">
        <f>'Rate Card'!C92</f>
        <v>Service</v>
      </c>
      <c r="E92" s="24" t="str">
        <f>'Rate Card'!D92</f>
        <v>Per site</v>
      </c>
      <c r="F92" s="25">
        <f t="shared" si="10"/>
        <v>0</v>
      </c>
      <c r="G92" s="26">
        <f>'Rate Card'!I92</f>
        <v>17600</v>
      </c>
      <c r="H92" s="8"/>
      <c r="I92" s="27">
        <f t="shared" si="11"/>
        <v>0.22500000000000001</v>
      </c>
      <c r="J92" s="16">
        <f t="shared" si="12"/>
        <v>22710</v>
      </c>
      <c r="K92" s="16">
        <f t="shared" si="13"/>
        <v>0</v>
      </c>
      <c r="L92" s="16">
        <f t="shared" si="14"/>
        <v>0</v>
      </c>
      <c r="M92" s="25">
        <f>$F92*N('Rate Card'!E92)</f>
        <v>0</v>
      </c>
      <c r="N92" s="25">
        <f>$F92*N('Rate Card'!G92)</f>
        <v>0</v>
      </c>
    </row>
    <row r="93" spans="1:14" x14ac:dyDescent="0.2">
      <c r="A93" s="23"/>
      <c r="B93" s="28" t="str">
        <f>'Rate Card'!A93</f>
        <v>SM</v>
      </c>
      <c r="C93" s="28" t="str">
        <f>'Rate Card'!B93</f>
        <v>Local travel for visits</v>
      </c>
      <c r="D93" s="28" t="str">
        <f>'Rate Card'!C93</f>
        <v>Service</v>
      </c>
      <c r="E93" s="28" t="str">
        <f>'Rate Card'!D93</f>
        <v>Per monitoring visit</v>
      </c>
      <c r="F93" s="29">
        <f t="shared" si="10"/>
        <v>0</v>
      </c>
      <c r="G93" s="30">
        <f>'Rate Card'!I93</f>
        <v>5500</v>
      </c>
      <c r="H93" s="8"/>
      <c r="I93" s="31">
        <f t="shared" si="11"/>
        <v>0.22500000000000001</v>
      </c>
      <c r="J93" s="20">
        <f t="shared" si="12"/>
        <v>7097</v>
      </c>
      <c r="K93" s="20">
        <f t="shared" si="13"/>
        <v>0</v>
      </c>
      <c r="L93" s="20">
        <f t="shared" si="14"/>
        <v>0</v>
      </c>
      <c r="M93" s="29">
        <f>$F93*N('Rate Card'!E93)</f>
        <v>0</v>
      </c>
      <c r="N93" s="29">
        <f>$F93*N('Rate Card'!G93)</f>
        <v>0</v>
      </c>
    </row>
    <row r="94" spans="1:14" x14ac:dyDescent="0.2">
      <c r="A94" s="23"/>
      <c r="B94" s="24" t="str">
        <f>'Rate Card'!A94</f>
        <v>SM</v>
      </c>
      <c r="C94" s="24" t="str">
        <f>'Rate Card'!B94</f>
        <v>Out-station travel for visits</v>
      </c>
      <c r="D94" s="24" t="str">
        <f>'Rate Card'!C94</f>
        <v>Service</v>
      </c>
      <c r="E94" s="24" t="str">
        <f>'Rate Card'!D94</f>
        <v>Per monitoring visit</v>
      </c>
      <c r="F94" s="25">
        <f t="shared" si="10"/>
        <v>0</v>
      </c>
      <c r="G94" s="26">
        <f>'Rate Card'!I94</f>
        <v>15400</v>
      </c>
      <c r="H94" s="8"/>
      <c r="I94" s="27">
        <f t="shared" si="11"/>
        <v>0.22500000000000001</v>
      </c>
      <c r="J94" s="16">
        <f t="shared" si="12"/>
        <v>19871</v>
      </c>
      <c r="K94" s="16">
        <f t="shared" si="13"/>
        <v>0</v>
      </c>
      <c r="L94" s="16">
        <f t="shared" si="14"/>
        <v>0</v>
      </c>
      <c r="M94" s="25">
        <f>$F94*N('Rate Card'!E94)</f>
        <v>0</v>
      </c>
      <c r="N94" s="25">
        <f>$F94*N('Rate Card'!G94)</f>
        <v>0</v>
      </c>
    </row>
    <row r="95" spans="1:14" x14ac:dyDescent="0.2">
      <c r="A95" s="23" t="s">
        <v>239</v>
      </c>
      <c r="B95" s="28" t="str">
        <f>'Rate Card'!A95</f>
        <v>EC</v>
      </c>
      <c r="C95" s="28" t="str">
        <f>'Rate Card'!B95</f>
        <v>Registration</v>
      </c>
      <c r="D95" s="28" t="str">
        <f>'Rate Card'!C95</f>
        <v>Service</v>
      </c>
      <c r="E95" s="28" t="str">
        <f>'Rate Card'!D95</f>
        <v>Fixed</v>
      </c>
      <c r="F95" s="29">
        <f t="shared" si="10"/>
        <v>1</v>
      </c>
      <c r="G95" s="30">
        <f>'Rate Card'!I95</f>
        <v>12000</v>
      </c>
      <c r="H95" s="8"/>
      <c r="I95" s="31">
        <f t="shared" si="11"/>
        <v>0.22500000000000001</v>
      </c>
      <c r="J95" s="20">
        <f t="shared" si="12"/>
        <v>15484</v>
      </c>
      <c r="K95" s="20">
        <f t="shared" si="13"/>
        <v>15484</v>
      </c>
      <c r="L95" s="20">
        <f t="shared" si="14"/>
        <v>12000</v>
      </c>
      <c r="M95" s="29">
        <f>$F95*N('Rate Card'!E95)</f>
        <v>10</v>
      </c>
      <c r="N95" s="29">
        <f>$F95*N('Rate Card'!G95)</f>
        <v>0</v>
      </c>
    </row>
    <row r="96" spans="1:14" x14ac:dyDescent="0.2">
      <c r="A96" s="23" t="s">
        <v>239</v>
      </c>
      <c r="B96" s="24" t="str">
        <f>'Rate Card'!A96</f>
        <v>EC</v>
      </c>
      <c r="C96" s="24" t="str">
        <f>'Rate Card'!B96</f>
        <v>CTRI submission</v>
      </c>
      <c r="D96" s="24" t="str">
        <f>'Rate Card'!C96</f>
        <v>Service</v>
      </c>
      <c r="E96" s="24" t="str">
        <f>'Rate Card'!D96</f>
        <v>Fixed</v>
      </c>
      <c r="F96" s="25">
        <f t="shared" si="10"/>
        <v>1</v>
      </c>
      <c r="G96" s="26">
        <f>'Rate Card'!I96</f>
        <v>12000</v>
      </c>
      <c r="H96" s="8"/>
      <c r="I96" s="27">
        <f t="shared" si="11"/>
        <v>0.22500000000000001</v>
      </c>
      <c r="J96" s="16">
        <f t="shared" si="12"/>
        <v>15484</v>
      </c>
      <c r="K96" s="16">
        <f t="shared" si="13"/>
        <v>15484</v>
      </c>
      <c r="L96" s="16">
        <f t="shared" si="14"/>
        <v>12000</v>
      </c>
      <c r="M96" s="25">
        <f>$F96*N('Rate Card'!E96)</f>
        <v>10</v>
      </c>
      <c r="N96" s="25">
        <f>$F96*N('Rate Card'!G96)</f>
        <v>0</v>
      </c>
    </row>
    <row r="97" spans="1:14" x14ac:dyDescent="0.2">
      <c r="A97" s="23"/>
      <c r="B97" s="28" t="str">
        <f>'Rate Card'!A97</f>
        <v>EC</v>
      </c>
      <c r="C97" s="28" t="str">
        <f>'Rate Card'!B97</f>
        <v>CTRI query resolution</v>
      </c>
      <c r="D97" s="28" t="str">
        <f>'Rate Card'!C97</f>
        <v>Service</v>
      </c>
      <c r="E97" s="28" t="str">
        <f>'Rate Card'!D97</f>
        <v>Fixed</v>
      </c>
      <c r="F97" s="29">
        <f t="shared" si="10"/>
        <v>0</v>
      </c>
      <c r="G97" s="30">
        <f>'Rate Card'!I97</f>
        <v>6000</v>
      </c>
      <c r="H97" s="8"/>
      <c r="I97" s="31">
        <f t="shared" si="11"/>
        <v>0.22500000000000001</v>
      </c>
      <c r="J97" s="20">
        <f t="shared" si="12"/>
        <v>7742</v>
      </c>
      <c r="K97" s="20">
        <f t="shared" si="13"/>
        <v>0</v>
      </c>
      <c r="L97" s="20">
        <f t="shared" si="14"/>
        <v>0</v>
      </c>
      <c r="M97" s="29">
        <f>$F97*N('Rate Card'!E97)</f>
        <v>0</v>
      </c>
      <c r="N97" s="29">
        <f>$F97*N('Rate Card'!G97)</f>
        <v>0</v>
      </c>
    </row>
    <row r="98" spans="1:14" x14ac:dyDescent="0.2">
      <c r="A98" s="23"/>
      <c r="B98" s="24" t="str">
        <f>'Rate Card'!A98</f>
        <v>EC</v>
      </c>
      <c r="C98" s="24" t="str">
        <f>'Rate Card'!B98</f>
        <v>Client Communications</v>
      </c>
      <c r="D98" s="24" t="str">
        <f>'Rate Card'!C98</f>
        <v>Service</v>
      </c>
      <c r="E98" s="24" t="str">
        <f>'Rate Card'!D98</f>
        <v>Per month</v>
      </c>
      <c r="F98" s="25">
        <f t="shared" ref="F98:F123" si="15">IF($A98="x",IFERROR(INDEX(DriverQty,MATCH($E98,DriverName,0)),0),0)</f>
        <v>0</v>
      </c>
      <c r="G98" s="26">
        <f>'Rate Card'!I98</f>
        <v>6000</v>
      </c>
      <c r="H98" s="8"/>
      <c r="I98" s="27">
        <f t="shared" ref="I98:I123" si="16">IF($D98="Pass-through",0,MAX(MarginFloor,IF($H98="",MarginLever,$H98)))</f>
        <v>0.22500000000000001</v>
      </c>
      <c r="J98" s="16">
        <f t="shared" ref="J98:J123" si="17">IF($D98="Pass-through",$G98,IF($I98&gt;=1,$G98,ROUND($G98/(1-$I98),0)))</f>
        <v>7742</v>
      </c>
      <c r="K98" s="16">
        <f t="shared" ref="K98:K123" si="18">$F98*$J98</f>
        <v>0</v>
      </c>
      <c r="L98" s="16">
        <f t="shared" ref="L98:L123" si="19">$F98*$G98</f>
        <v>0</v>
      </c>
      <c r="M98" s="25">
        <f>$F98*N('Rate Card'!E98)</f>
        <v>0</v>
      </c>
      <c r="N98" s="25">
        <f>$F98*N('Rate Card'!G98)</f>
        <v>0</v>
      </c>
    </row>
    <row r="99" spans="1:14" x14ac:dyDescent="0.2">
      <c r="A99" s="23"/>
      <c r="B99" s="28" t="str">
        <f>'Rate Card'!A99</f>
        <v>EC</v>
      </c>
      <c r="C99" s="28" t="str">
        <f>'Rate Card'!B99</f>
        <v>Coordination with PM</v>
      </c>
      <c r="D99" s="28" t="str">
        <f>'Rate Card'!C99</f>
        <v>Service</v>
      </c>
      <c r="E99" s="28" t="str">
        <f>'Rate Card'!D99</f>
        <v>Per month</v>
      </c>
      <c r="F99" s="29">
        <f t="shared" si="15"/>
        <v>0</v>
      </c>
      <c r="G99" s="30">
        <f>'Rate Card'!I99</f>
        <v>12000</v>
      </c>
      <c r="H99" s="8"/>
      <c r="I99" s="31">
        <f t="shared" si="16"/>
        <v>0.22500000000000001</v>
      </c>
      <c r="J99" s="20">
        <f t="shared" si="17"/>
        <v>15484</v>
      </c>
      <c r="K99" s="20">
        <f t="shared" si="18"/>
        <v>0</v>
      </c>
      <c r="L99" s="20">
        <f t="shared" si="19"/>
        <v>0</v>
      </c>
      <c r="M99" s="29">
        <f>$F99*N('Rate Card'!E99)</f>
        <v>0</v>
      </c>
      <c r="N99" s="29">
        <f>$F99*N('Rate Card'!G99)</f>
        <v>0</v>
      </c>
    </row>
    <row r="100" spans="1:14" x14ac:dyDescent="0.2">
      <c r="A100" s="23"/>
      <c r="B100" s="24" t="str">
        <f>'Rate Card'!A100</f>
        <v>EC</v>
      </c>
      <c r="C100" s="24" t="str">
        <f>'Rate Card'!B100</f>
        <v>CTRI Updates</v>
      </c>
      <c r="D100" s="24" t="str">
        <f>'Rate Card'!C100</f>
        <v>Service</v>
      </c>
      <c r="E100" s="24" t="str">
        <f>'Rate Card'!D100</f>
        <v>Fixed</v>
      </c>
      <c r="F100" s="25">
        <f t="shared" si="15"/>
        <v>0</v>
      </c>
      <c r="G100" s="26">
        <f>'Rate Card'!I100</f>
        <v>6000</v>
      </c>
      <c r="H100" s="8"/>
      <c r="I100" s="27">
        <f t="shared" si="16"/>
        <v>0.22500000000000001</v>
      </c>
      <c r="J100" s="16">
        <f t="shared" si="17"/>
        <v>7742</v>
      </c>
      <c r="K100" s="16">
        <f t="shared" si="18"/>
        <v>0</v>
      </c>
      <c r="L100" s="16">
        <f t="shared" si="19"/>
        <v>0</v>
      </c>
      <c r="M100" s="25">
        <f>$F100*N('Rate Card'!E100)</f>
        <v>0</v>
      </c>
      <c r="N100" s="25">
        <f>$F100*N('Rate Card'!G100)</f>
        <v>0</v>
      </c>
    </row>
    <row r="101" spans="1:14" x14ac:dyDescent="0.2">
      <c r="A101" s="23"/>
      <c r="B101" s="28" t="str">
        <f>'Rate Card'!A101</f>
        <v>EC</v>
      </c>
      <c r="C101" s="28" t="str">
        <f>'Rate Card'!B101</f>
        <v>Regulatory updates</v>
      </c>
      <c r="D101" s="28" t="str">
        <f>'Rate Card'!C101</f>
        <v>Service</v>
      </c>
      <c r="E101" s="28" t="str">
        <f>'Rate Card'!D101</f>
        <v>Fixed</v>
      </c>
      <c r="F101" s="29">
        <f t="shared" si="15"/>
        <v>0</v>
      </c>
      <c r="G101" s="30">
        <f>'Rate Card'!I101</f>
        <v>6000</v>
      </c>
      <c r="H101" s="8"/>
      <c r="I101" s="31">
        <f t="shared" si="16"/>
        <v>0.22500000000000001</v>
      </c>
      <c r="J101" s="20">
        <f t="shared" si="17"/>
        <v>7742</v>
      </c>
      <c r="K101" s="20">
        <f t="shared" si="18"/>
        <v>0</v>
      </c>
      <c r="L101" s="20">
        <f t="shared" si="19"/>
        <v>0</v>
      </c>
      <c r="M101" s="29">
        <f>$F101*N('Rate Card'!E101)</f>
        <v>0</v>
      </c>
      <c r="N101" s="29">
        <f>$F101*N('Rate Card'!G101)</f>
        <v>0</v>
      </c>
    </row>
    <row r="102" spans="1:14" x14ac:dyDescent="0.2">
      <c r="A102" s="23"/>
      <c r="B102" s="24" t="str">
        <f>'Rate Card'!A102</f>
        <v>BioStats</v>
      </c>
      <c r="C102" s="24" t="str">
        <f>'Rate Card'!B102</f>
        <v>SAP - Dummy tables</v>
      </c>
      <c r="D102" s="24" t="str">
        <f>'Rate Card'!C102</f>
        <v>Service</v>
      </c>
      <c r="E102" s="24" t="str">
        <f>'Rate Card'!D102</f>
        <v>Fixed</v>
      </c>
      <c r="F102" s="25">
        <f t="shared" si="15"/>
        <v>0</v>
      </c>
      <c r="G102" s="26">
        <f>'Rate Card'!I102</f>
        <v>0</v>
      </c>
      <c r="H102" s="8"/>
      <c r="I102" s="27">
        <f t="shared" si="16"/>
        <v>0.22500000000000001</v>
      </c>
      <c r="J102" s="16">
        <f t="shared" si="17"/>
        <v>0</v>
      </c>
      <c r="K102" s="16">
        <f t="shared" si="18"/>
        <v>0</v>
      </c>
      <c r="L102" s="16">
        <f t="shared" si="19"/>
        <v>0</v>
      </c>
      <c r="M102" s="25">
        <f>$F102*N('Rate Card'!E102)</f>
        <v>0</v>
      </c>
      <c r="N102" s="25">
        <f>$F102*N('Rate Card'!G102)</f>
        <v>0</v>
      </c>
    </row>
    <row r="103" spans="1:14" x14ac:dyDescent="0.2">
      <c r="A103" s="23"/>
      <c r="B103" s="28" t="str">
        <f>'Rate Card'!A103</f>
        <v>BioStats</v>
      </c>
      <c r="C103" s="28" t="str">
        <f>'Rate Card'!B103</f>
        <v>SAR</v>
      </c>
      <c r="D103" s="28" t="str">
        <f>'Rate Card'!C103</f>
        <v>Service</v>
      </c>
      <c r="E103" s="28" t="str">
        <f>'Rate Card'!D103</f>
        <v>Fixed</v>
      </c>
      <c r="F103" s="29">
        <f t="shared" si="15"/>
        <v>0</v>
      </c>
      <c r="G103" s="30">
        <f>'Rate Card'!I103</f>
        <v>0</v>
      </c>
      <c r="H103" s="8"/>
      <c r="I103" s="31">
        <f t="shared" si="16"/>
        <v>0.22500000000000001</v>
      </c>
      <c r="J103" s="20">
        <f t="shared" si="17"/>
        <v>0</v>
      </c>
      <c r="K103" s="20">
        <f t="shared" si="18"/>
        <v>0</v>
      </c>
      <c r="L103" s="20">
        <f t="shared" si="19"/>
        <v>0</v>
      </c>
      <c r="M103" s="29">
        <f>$F103*N('Rate Card'!E103)</f>
        <v>0</v>
      </c>
      <c r="N103" s="29">
        <f>$F103*N('Rate Card'!G103)</f>
        <v>0</v>
      </c>
    </row>
    <row r="104" spans="1:14" x14ac:dyDescent="0.2">
      <c r="A104" s="23"/>
      <c r="B104" s="24" t="str">
        <f>'Rate Card'!A104</f>
        <v>BioStats</v>
      </c>
      <c r="C104" s="24" t="str">
        <f>'Rate Card'!B104</f>
        <v>Analysis</v>
      </c>
      <c r="D104" s="24" t="str">
        <f>'Rate Card'!C104</f>
        <v>Service</v>
      </c>
      <c r="E104" s="24" t="str">
        <f>'Rate Card'!D104</f>
        <v>Fixed</v>
      </c>
      <c r="F104" s="25">
        <f t="shared" si="15"/>
        <v>0</v>
      </c>
      <c r="G104" s="26">
        <f>'Rate Card'!I104</f>
        <v>0</v>
      </c>
      <c r="H104" s="8"/>
      <c r="I104" s="27">
        <f t="shared" si="16"/>
        <v>0.22500000000000001</v>
      </c>
      <c r="J104" s="16">
        <f t="shared" si="17"/>
        <v>0</v>
      </c>
      <c r="K104" s="16">
        <f t="shared" si="18"/>
        <v>0</v>
      </c>
      <c r="L104" s="16">
        <f t="shared" si="19"/>
        <v>0</v>
      </c>
      <c r="M104" s="25">
        <f>$F104*N('Rate Card'!E104)</f>
        <v>0</v>
      </c>
      <c r="N104" s="25">
        <f>$F104*N('Rate Card'!G104)</f>
        <v>0</v>
      </c>
    </row>
    <row r="105" spans="1:14" x14ac:dyDescent="0.2">
      <c r="A105" s="23"/>
      <c r="B105" s="28" t="str">
        <f>'Rate Card'!A105</f>
        <v>BioStats</v>
      </c>
      <c r="C105" s="28" t="str">
        <f>'Rate Card'!B105</f>
        <v>Medical writing Liasion</v>
      </c>
      <c r="D105" s="28" t="str">
        <f>'Rate Card'!C105</f>
        <v>Service</v>
      </c>
      <c r="E105" s="28" t="str">
        <f>'Rate Card'!D105</f>
        <v>Fixed</v>
      </c>
      <c r="F105" s="29">
        <f t="shared" si="15"/>
        <v>0</v>
      </c>
      <c r="G105" s="30">
        <f>'Rate Card'!I105</f>
        <v>0</v>
      </c>
      <c r="H105" s="8"/>
      <c r="I105" s="31">
        <f t="shared" si="16"/>
        <v>0.22500000000000001</v>
      </c>
      <c r="J105" s="20">
        <f t="shared" si="17"/>
        <v>0</v>
      </c>
      <c r="K105" s="20">
        <f t="shared" si="18"/>
        <v>0</v>
      </c>
      <c r="L105" s="20">
        <f t="shared" si="19"/>
        <v>0</v>
      </c>
      <c r="M105" s="29">
        <f>$F105*N('Rate Card'!E105)</f>
        <v>0</v>
      </c>
      <c r="N105" s="29">
        <f>$F105*N('Rate Card'!G105)</f>
        <v>0</v>
      </c>
    </row>
    <row r="106" spans="1:14" x14ac:dyDescent="0.2">
      <c r="A106" s="23"/>
      <c r="B106" s="24" t="str">
        <f>'Rate Card'!A106</f>
        <v>PTC</v>
      </c>
      <c r="C106" s="24" t="str">
        <f>'Rate Card'!B106</f>
        <v>ICD Translation &amp; back translations</v>
      </c>
      <c r="D106" s="24" t="str">
        <f>'Rate Card'!C106</f>
        <v>Pass-through</v>
      </c>
      <c r="E106" s="24" t="str">
        <f>'Rate Card'!D106</f>
        <v>Manual</v>
      </c>
      <c r="F106" s="25">
        <f t="shared" si="15"/>
        <v>0</v>
      </c>
      <c r="G106" s="26">
        <f>'Rate Card'!I106</f>
        <v>20000</v>
      </c>
      <c r="H106" s="8"/>
      <c r="I106" s="27">
        <f t="shared" si="16"/>
        <v>0</v>
      </c>
      <c r="J106" s="16">
        <f t="shared" si="17"/>
        <v>20000</v>
      </c>
      <c r="K106" s="16">
        <f t="shared" si="18"/>
        <v>0</v>
      </c>
      <c r="L106" s="16">
        <f t="shared" si="19"/>
        <v>0</v>
      </c>
      <c r="M106" s="25">
        <f>$F106*N('Rate Card'!E106)</f>
        <v>0</v>
      </c>
      <c r="N106" s="25">
        <f>$F106*N('Rate Card'!G106)</f>
        <v>0</v>
      </c>
    </row>
    <row r="107" spans="1:14" x14ac:dyDescent="0.2">
      <c r="A107" s="23"/>
      <c r="B107" s="28" t="str">
        <f>'Rate Card'!A107</f>
        <v>PTC</v>
      </c>
      <c r="C107" s="28" t="str">
        <f>'Rate Card'!B107</f>
        <v>Ethics Committee Fee - Institutional</v>
      </c>
      <c r="D107" s="28" t="str">
        <f>'Rate Card'!C107</f>
        <v>Pass-through</v>
      </c>
      <c r="E107" s="28" t="str">
        <f>'Rate Card'!D107</f>
        <v>Per site</v>
      </c>
      <c r="F107" s="29">
        <f t="shared" si="15"/>
        <v>0</v>
      </c>
      <c r="G107" s="30">
        <f>'Rate Card'!I107</f>
        <v>100000</v>
      </c>
      <c r="H107" s="8"/>
      <c r="I107" s="31">
        <f t="shared" si="16"/>
        <v>0</v>
      </c>
      <c r="J107" s="20">
        <f t="shared" si="17"/>
        <v>100000</v>
      </c>
      <c r="K107" s="20">
        <f t="shared" si="18"/>
        <v>0</v>
      </c>
      <c r="L107" s="20">
        <f t="shared" si="19"/>
        <v>0</v>
      </c>
      <c r="M107" s="29">
        <f>$F107*N('Rate Card'!E107)</f>
        <v>0</v>
      </c>
      <c r="N107" s="29">
        <f>$F107*N('Rate Card'!G107)</f>
        <v>0</v>
      </c>
    </row>
    <row r="108" spans="1:14" x14ac:dyDescent="0.2">
      <c r="A108" s="23" t="s">
        <v>239</v>
      </c>
      <c r="B108" s="24" t="str">
        <f>'Rate Card'!A108</f>
        <v>PTC</v>
      </c>
      <c r="C108" s="24" t="str">
        <f>'Rate Card'!B108</f>
        <v>Ethics Committee Fee - Central</v>
      </c>
      <c r="D108" s="24" t="str">
        <f>'Rate Card'!C108</f>
        <v>Pass-through</v>
      </c>
      <c r="E108" s="24" t="str">
        <f>'Rate Card'!D108</f>
        <v>Per site</v>
      </c>
      <c r="F108" s="25">
        <f t="shared" si="15"/>
        <v>5</v>
      </c>
      <c r="G108" s="26">
        <f>'Rate Card'!I108</f>
        <v>20000</v>
      </c>
      <c r="H108" s="8"/>
      <c r="I108" s="27">
        <f t="shared" si="16"/>
        <v>0</v>
      </c>
      <c r="J108" s="16">
        <f t="shared" si="17"/>
        <v>20000</v>
      </c>
      <c r="K108" s="16">
        <f t="shared" si="18"/>
        <v>100000</v>
      </c>
      <c r="L108" s="16">
        <f t="shared" si="19"/>
        <v>100000</v>
      </c>
      <c r="M108" s="25">
        <f>$F108*N('Rate Card'!E108)</f>
        <v>0</v>
      </c>
      <c r="N108" s="25">
        <f>$F108*N('Rate Card'!G108)</f>
        <v>0</v>
      </c>
    </row>
    <row r="109" spans="1:14" x14ac:dyDescent="0.2">
      <c r="A109" s="23"/>
      <c r="B109" s="28" t="str">
        <f>'Rate Card'!A109</f>
        <v>PTC</v>
      </c>
      <c r="C109" s="28" t="str">
        <f>'Rate Card'!B109</f>
        <v>Travel - Local</v>
      </c>
      <c r="D109" s="28" t="str">
        <f>'Rate Card'!C109</f>
        <v>Pass-through</v>
      </c>
      <c r="E109" s="28" t="str">
        <f>'Rate Card'!D109</f>
        <v>Manual</v>
      </c>
      <c r="F109" s="29">
        <f t="shared" si="15"/>
        <v>0</v>
      </c>
      <c r="G109" s="30">
        <f>'Rate Card'!I109</f>
        <v>2500</v>
      </c>
      <c r="H109" s="8"/>
      <c r="I109" s="31">
        <f t="shared" si="16"/>
        <v>0</v>
      </c>
      <c r="J109" s="20">
        <f t="shared" si="17"/>
        <v>2500</v>
      </c>
      <c r="K109" s="20">
        <f t="shared" si="18"/>
        <v>0</v>
      </c>
      <c r="L109" s="20">
        <f t="shared" si="19"/>
        <v>0</v>
      </c>
      <c r="M109" s="29">
        <f>$F109*N('Rate Card'!E109)</f>
        <v>0</v>
      </c>
      <c r="N109" s="29">
        <f>$F109*N('Rate Card'!G109)</f>
        <v>0</v>
      </c>
    </row>
    <row r="110" spans="1:14" x14ac:dyDescent="0.2">
      <c r="A110" s="23"/>
      <c r="B110" s="24" t="str">
        <f>'Rate Card'!A110</f>
        <v>PTC</v>
      </c>
      <c r="C110" s="24" t="str">
        <f>'Rate Card'!B110</f>
        <v>Travel - Out of Station</v>
      </c>
      <c r="D110" s="24" t="str">
        <f>'Rate Card'!C110</f>
        <v>Pass-through</v>
      </c>
      <c r="E110" s="24" t="str">
        <f>'Rate Card'!D110</f>
        <v>Manual</v>
      </c>
      <c r="F110" s="25">
        <f t="shared" si="15"/>
        <v>0</v>
      </c>
      <c r="G110" s="26">
        <f>'Rate Card'!I110</f>
        <v>20000</v>
      </c>
      <c r="H110" s="8"/>
      <c r="I110" s="27">
        <f t="shared" si="16"/>
        <v>0</v>
      </c>
      <c r="J110" s="16">
        <f t="shared" si="17"/>
        <v>20000</v>
      </c>
      <c r="K110" s="16">
        <f t="shared" si="18"/>
        <v>0</v>
      </c>
      <c r="L110" s="16">
        <f t="shared" si="19"/>
        <v>0</v>
      </c>
      <c r="M110" s="25">
        <f>$F110*N('Rate Card'!E110)</f>
        <v>0</v>
      </c>
      <c r="N110" s="25">
        <f>$F110*N('Rate Card'!G110)</f>
        <v>0</v>
      </c>
    </row>
    <row r="111" spans="1:14" x14ac:dyDescent="0.2">
      <c r="A111" s="23"/>
      <c r="B111" s="28" t="str">
        <f>'Rate Card'!A111</f>
        <v>PTC</v>
      </c>
      <c r="C111" s="28" t="str">
        <f>'Rate Card'!B111</f>
        <v>Boarding &amp; lodging</v>
      </c>
      <c r="D111" s="28" t="str">
        <f>'Rate Card'!C111</f>
        <v>Pass-through</v>
      </c>
      <c r="E111" s="28" t="str">
        <f>'Rate Card'!D111</f>
        <v>Manual</v>
      </c>
      <c r="F111" s="29">
        <f t="shared" si="15"/>
        <v>0</v>
      </c>
      <c r="G111" s="30">
        <f>'Rate Card'!I111</f>
        <v>10000</v>
      </c>
      <c r="H111" s="8"/>
      <c r="I111" s="31">
        <f t="shared" si="16"/>
        <v>0</v>
      </c>
      <c r="J111" s="20">
        <f t="shared" si="17"/>
        <v>10000</v>
      </c>
      <c r="K111" s="20">
        <f t="shared" si="18"/>
        <v>0</v>
      </c>
      <c r="L111" s="20">
        <f t="shared" si="19"/>
        <v>0</v>
      </c>
      <c r="M111" s="29">
        <f>$F111*N('Rate Card'!E111)</f>
        <v>0</v>
      </c>
      <c r="N111" s="29">
        <f>$F111*N('Rate Card'!G111)</f>
        <v>0</v>
      </c>
    </row>
    <row r="112" spans="1:14" x14ac:dyDescent="0.2">
      <c r="A112" s="23"/>
      <c r="B112" s="24" t="str">
        <f>'Rate Card'!A112</f>
        <v>PTC</v>
      </c>
      <c r="C112" s="24" t="str">
        <f>'Rate Card'!B112</f>
        <v>Printing &amp; Courier</v>
      </c>
      <c r="D112" s="24" t="str">
        <f>'Rate Card'!C112</f>
        <v>Pass-through</v>
      </c>
      <c r="E112" s="24" t="str">
        <f>'Rate Card'!D112</f>
        <v>Manual</v>
      </c>
      <c r="F112" s="25">
        <f t="shared" si="15"/>
        <v>0</v>
      </c>
      <c r="G112" s="26">
        <f>'Rate Card'!I112</f>
        <v>2000</v>
      </c>
      <c r="H112" s="8"/>
      <c r="I112" s="27">
        <f t="shared" si="16"/>
        <v>0</v>
      </c>
      <c r="J112" s="16">
        <f t="shared" si="17"/>
        <v>2000</v>
      </c>
      <c r="K112" s="16">
        <f t="shared" si="18"/>
        <v>0</v>
      </c>
      <c r="L112" s="16">
        <f t="shared" si="19"/>
        <v>0</v>
      </c>
      <c r="M112" s="25">
        <f>$F112*N('Rate Card'!E112)</f>
        <v>0</v>
      </c>
      <c r="N112" s="25">
        <f>$F112*N('Rate Card'!G112)</f>
        <v>0</v>
      </c>
    </row>
    <row r="113" spans="1:14" x14ac:dyDescent="0.2">
      <c r="A113" s="23"/>
      <c r="B113" s="28" t="str">
        <f>'Rate Card'!A113</f>
        <v>PTC</v>
      </c>
      <c r="C113" s="28" t="str">
        <f>'Rate Card'!B113</f>
        <v>External CRC</v>
      </c>
      <c r="D113" s="28" t="str">
        <f>'Rate Card'!C113</f>
        <v>Pass-through</v>
      </c>
      <c r="E113" s="28" t="str">
        <f>'Rate Card'!D113</f>
        <v>Per site-month</v>
      </c>
      <c r="F113" s="29">
        <f t="shared" si="15"/>
        <v>0</v>
      </c>
      <c r="G113" s="30">
        <f>'Rate Card'!I113</f>
        <v>30000</v>
      </c>
      <c r="H113" s="8"/>
      <c r="I113" s="31">
        <f t="shared" si="16"/>
        <v>0</v>
      </c>
      <c r="J113" s="20">
        <f t="shared" si="17"/>
        <v>30000</v>
      </c>
      <c r="K113" s="20">
        <f t="shared" si="18"/>
        <v>0</v>
      </c>
      <c r="L113" s="20">
        <f t="shared" si="19"/>
        <v>0</v>
      </c>
      <c r="M113" s="29">
        <f>$F113*N('Rate Card'!E113)</f>
        <v>0</v>
      </c>
      <c r="N113" s="29">
        <f>$F113*N('Rate Card'!G113)</f>
        <v>0</v>
      </c>
    </row>
    <row r="114" spans="1:14" x14ac:dyDescent="0.2">
      <c r="A114" s="23"/>
      <c r="B114" s="24" t="str">
        <f>'Rate Card'!A114</f>
        <v>PTC</v>
      </c>
      <c r="C114" s="24" t="str">
        <f>'Rate Card'!B114</f>
        <v>External Data entry operator</v>
      </c>
      <c r="D114" s="24" t="str">
        <f>'Rate Card'!C114</f>
        <v>Pass-through</v>
      </c>
      <c r="E114" s="24" t="str">
        <f>'Rate Card'!D114</f>
        <v>Manual</v>
      </c>
      <c r="F114" s="25">
        <f t="shared" si="15"/>
        <v>0</v>
      </c>
      <c r="G114" s="26">
        <f>'Rate Card'!I114</f>
        <v>20000</v>
      </c>
      <c r="H114" s="8"/>
      <c r="I114" s="27">
        <f t="shared" si="16"/>
        <v>0</v>
      </c>
      <c r="J114" s="16">
        <f t="shared" si="17"/>
        <v>20000</v>
      </c>
      <c r="K114" s="16">
        <f t="shared" si="18"/>
        <v>0</v>
      </c>
      <c r="L114" s="16">
        <f t="shared" si="19"/>
        <v>0</v>
      </c>
      <c r="M114" s="25">
        <f>$F114*N('Rate Card'!E114)</f>
        <v>0</v>
      </c>
      <c r="N114" s="25">
        <f>$F114*N('Rate Card'!G114)</f>
        <v>0</v>
      </c>
    </row>
    <row r="115" spans="1:14" x14ac:dyDescent="0.2">
      <c r="A115" s="23"/>
      <c r="B115" s="28" t="str">
        <f>'Rate Card'!A115</f>
        <v>PTC</v>
      </c>
      <c r="C115" s="28" t="str">
        <f>'Rate Card'!B115</f>
        <v>Journal Fee</v>
      </c>
      <c r="D115" s="28" t="str">
        <f>'Rate Card'!C115</f>
        <v>Pass-through</v>
      </c>
      <c r="E115" s="28" t="str">
        <f>'Rate Card'!D115</f>
        <v>Fixed</v>
      </c>
      <c r="F115" s="29">
        <f t="shared" si="15"/>
        <v>0</v>
      </c>
      <c r="G115" s="30">
        <f>'Rate Card'!I115</f>
        <v>0</v>
      </c>
      <c r="H115" s="8"/>
      <c r="I115" s="31">
        <f t="shared" si="16"/>
        <v>0</v>
      </c>
      <c r="J115" s="20">
        <f t="shared" si="17"/>
        <v>0</v>
      </c>
      <c r="K115" s="20">
        <f t="shared" si="18"/>
        <v>0</v>
      </c>
      <c r="L115" s="20">
        <f t="shared" si="19"/>
        <v>0</v>
      </c>
      <c r="M115" s="29">
        <f>$F115*N('Rate Card'!E115)</f>
        <v>0</v>
      </c>
      <c r="N115" s="29">
        <f>$F115*N('Rate Card'!G115)</f>
        <v>0</v>
      </c>
    </row>
    <row r="116" spans="1:14" x14ac:dyDescent="0.2">
      <c r="A116" s="23"/>
      <c r="B116" s="24" t="str">
        <f>'Rate Card'!A116</f>
        <v>PTC</v>
      </c>
      <c r="C116" s="24" t="str">
        <f>'Rate Card'!B116</f>
        <v>PI Fee / Data record Fee (per patient)</v>
      </c>
      <c r="D116" s="24" t="str">
        <f>'Rate Card'!C116</f>
        <v>Pass-through</v>
      </c>
      <c r="E116" s="24" t="str">
        <f>'Rate Card'!D116</f>
        <v>Per patient</v>
      </c>
      <c r="F116" s="25">
        <f t="shared" si="15"/>
        <v>0</v>
      </c>
      <c r="G116" s="26">
        <f>'Rate Card'!I116</f>
        <v>4000</v>
      </c>
      <c r="H116" s="8"/>
      <c r="I116" s="27">
        <f t="shared" si="16"/>
        <v>0</v>
      </c>
      <c r="J116" s="16">
        <f t="shared" si="17"/>
        <v>4000</v>
      </c>
      <c r="K116" s="16">
        <f t="shared" si="18"/>
        <v>0</v>
      </c>
      <c r="L116" s="16">
        <f t="shared" si="19"/>
        <v>0</v>
      </c>
      <c r="M116" s="25">
        <f>$F116*N('Rate Card'!E116)</f>
        <v>0</v>
      </c>
      <c r="N116" s="25">
        <f>$F116*N('Rate Card'!G116)</f>
        <v>0</v>
      </c>
    </row>
    <row r="117" spans="1:14" x14ac:dyDescent="0.2">
      <c r="A117" s="23"/>
      <c r="B117" s="28" t="str">
        <f>'Rate Card'!A117</f>
        <v>PTC</v>
      </c>
      <c r="C117" s="28" t="str">
        <f>'Rate Card'!B117</f>
        <v>Data entry Fee (per patient)</v>
      </c>
      <c r="D117" s="28" t="str">
        <f>'Rate Card'!C117</f>
        <v>Pass-through</v>
      </c>
      <c r="E117" s="28" t="str">
        <f>'Rate Card'!D117</f>
        <v>Per patient</v>
      </c>
      <c r="F117" s="29">
        <f t="shared" si="15"/>
        <v>0</v>
      </c>
      <c r="G117" s="30">
        <f>'Rate Card'!I117</f>
        <v>0</v>
      </c>
      <c r="H117" s="8"/>
      <c r="I117" s="31">
        <f t="shared" si="16"/>
        <v>0</v>
      </c>
      <c r="J117" s="20">
        <f t="shared" si="17"/>
        <v>0</v>
      </c>
      <c r="K117" s="20">
        <f t="shared" si="18"/>
        <v>0</v>
      </c>
      <c r="L117" s="20">
        <f t="shared" si="19"/>
        <v>0</v>
      </c>
      <c r="M117" s="29">
        <f>$F117*N('Rate Card'!E117)</f>
        <v>0</v>
      </c>
      <c r="N117" s="29">
        <f>$F117*N('Rate Card'!G117)</f>
        <v>0</v>
      </c>
    </row>
    <row r="118" spans="1:14" x14ac:dyDescent="0.2">
      <c r="A118" s="23"/>
      <c r="B118" s="24" t="str">
        <f>'Rate Card'!A118</f>
        <v>PTC</v>
      </c>
      <c r="C118" s="24" t="str">
        <f>'Rate Card'!B118</f>
        <v>Institutional Overhead</v>
      </c>
      <c r="D118" s="24" t="str">
        <f>'Rate Card'!C118</f>
        <v>Pass-through</v>
      </c>
      <c r="E118" s="24" t="str">
        <f>'Rate Card'!D118</f>
        <v>Per site</v>
      </c>
      <c r="F118" s="25">
        <f t="shared" si="15"/>
        <v>0</v>
      </c>
      <c r="G118" s="26">
        <f>'Rate Card'!I118</f>
        <v>0</v>
      </c>
      <c r="H118" s="8"/>
      <c r="I118" s="27">
        <f t="shared" si="16"/>
        <v>0</v>
      </c>
      <c r="J118" s="16">
        <f t="shared" si="17"/>
        <v>0</v>
      </c>
      <c r="K118" s="16">
        <f t="shared" si="18"/>
        <v>0</v>
      </c>
      <c r="L118" s="16">
        <f t="shared" si="19"/>
        <v>0</v>
      </c>
      <c r="M118" s="25">
        <f>$F118*N('Rate Card'!E118)</f>
        <v>0</v>
      </c>
      <c r="N118" s="25">
        <f>$F118*N('Rate Card'!G118)</f>
        <v>0</v>
      </c>
    </row>
    <row r="119" spans="1:14" x14ac:dyDescent="0.2">
      <c r="A119" s="23"/>
      <c r="B119" s="28" t="str">
        <f>'Rate Card'!A119</f>
        <v>Tech</v>
      </c>
      <c r="C119" s="28" t="str">
        <f>'Rate Card'!B119</f>
        <v>EDC Monthly License Fee</v>
      </c>
      <c r="D119" s="28" t="str">
        <f>'Rate Card'!C119</f>
        <v>Pass-through</v>
      </c>
      <c r="E119" s="28" t="str">
        <f>'Rate Card'!D119</f>
        <v>Per month</v>
      </c>
      <c r="F119" s="29">
        <f t="shared" si="15"/>
        <v>0</v>
      </c>
      <c r="G119" s="30">
        <f>'Rate Card'!I119</f>
        <v>0</v>
      </c>
      <c r="H119" s="8"/>
      <c r="I119" s="31">
        <f t="shared" si="16"/>
        <v>0</v>
      </c>
      <c r="J119" s="20">
        <f t="shared" si="17"/>
        <v>0</v>
      </c>
      <c r="K119" s="20">
        <f t="shared" si="18"/>
        <v>0</v>
      </c>
      <c r="L119" s="20">
        <f t="shared" si="19"/>
        <v>0</v>
      </c>
      <c r="M119" s="29">
        <f>$F119*N('Rate Card'!E119)</f>
        <v>0</v>
      </c>
      <c r="N119" s="29">
        <f>$F119*N('Rate Card'!G119)</f>
        <v>0</v>
      </c>
    </row>
    <row r="120" spans="1:14" x14ac:dyDescent="0.2">
      <c r="A120" s="23"/>
      <c r="B120" s="24" t="str">
        <f>'Rate Card'!A120</f>
        <v>Tech</v>
      </c>
      <c r="C120" s="24" t="str">
        <f>'Rate Card'!B120</f>
        <v>MEDDRA License Fee</v>
      </c>
      <c r="D120" s="24" t="str">
        <f>'Rate Card'!C120</f>
        <v>Pass-through</v>
      </c>
      <c r="E120" s="24" t="str">
        <f>'Rate Card'!D120</f>
        <v>Fixed</v>
      </c>
      <c r="F120" s="25">
        <f t="shared" si="15"/>
        <v>0</v>
      </c>
      <c r="G120" s="26">
        <f>'Rate Card'!I120</f>
        <v>0</v>
      </c>
      <c r="H120" s="8"/>
      <c r="I120" s="27">
        <f t="shared" si="16"/>
        <v>0</v>
      </c>
      <c r="J120" s="16">
        <f t="shared" si="17"/>
        <v>0</v>
      </c>
      <c r="K120" s="16">
        <f t="shared" si="18"/>
        <v>0</v>
      </c>
      <c r="L120" s="16">
        <f t="shared" si="19"/>
        <v>0</v>
      </c>
      <c r="M120" s="25">
        <f>$F120*N('Rate Card'!E120)</f>
        <v>0</v>
      </c>
      <c r="N120" s="25">
        <f>$F120*N('Rate Card'!G120)</f>
        <v>0</v>
      </c>
    </row>
    <row r="121" spans="1:14" x14ac:dyDescent="0.2">
      <c r="A121" s="23"/>
      <c r="B121" s="28" t="str">
        <f>'Rate Card'!A121</f>
        <v>Tech</v>
      </c>
      <c r="C121" s="28" t="str">
        <f>'Rate Card'!B121</f>
        <v>QoL/PRO License Fee</v>
      </c>
      <c r="D121" s="28" t="str">
        <f>'Rate Card'!C121</f>
        <v>Pass-through</v>
      </c>
      <c r="E121" s="28" t="str">
        <f>'Rate Card'!D121</f>
        <v>Fixed</v>
      </c>
      <c r="F121" s="29">
        <f t="shared" si="15"/>
        <v>0</v>
      </c>
      <c r="G121" s="30">
        <f>'Rate Card'!I121</f>
        <v>0</v>
      </c>
      <c r="H121" s="8"/>
      <c r="I121" s="31">
        <f t="shared" si="16"/>
        <v>0</v>
      </c>
      <c r="J121" s="20">
        <f t="shared" si="17"/>
        <v>0</v>
      </c>
      <c r="K121" s="20">
        <f t="shared" si="18"/>
        <v>0</v>
      </c>
      <c r="L121" s="20">
        <f t="shared" si="19"/>
        <v>0</v>
      </c>
      <c r="M121" s="29">
        <f>$F121*N('Rate Card'!E121)</f>
        <v>0</v>
      </c>
      <c r="N121" s="29">
        <f>$F121*N('Rate Card'!G121)</f>
        <v>0</v>
      </c>
    </row>
    <row r="122" spans="1:14" x14ac:dyDescent="0.2">
      <c r="A122" s="23"/>
      <c r="B122" s="24" t="str">
        <f>'Rate Card'!A122</f>
        <v>Tech</v>
      </c>
      <c r="C122" s="24" t="str">
        <f>'Rate Card'!B122</f>
        <v>eTMF monthly license Fee</v>
      </c>
      <c r="D122" s="24" t="str">
        <f>'Rate Card'!C122</f>
        <v>Pass-through</v>
      </c>
      <c r="E122" s="24" t="str">
        <f>'Rate Card'!D122</f>
        <v>Per month</v>
      </c>
      <c r="F122" s="25">
        <f t="shared" si="15"/>
        <v>0</v>
      </c>
      <c r="G122" s="26">
        <f>'Rate Card'!I122</f>
        <v>0</v>
      </c>
      <c r="H122" s="8"/>
      <c r="I122" s="27">
        <f t="shared" si="16"/>
        <v>0</v>
      </c>
      <c r="J122" s="16">
        <f t="shared" si="17"/>
        <v>0</v>
      </c>
      <c r="K122" s="16">
        <f t="shared" si="18"/>
        <v>0</v>
      </c>
      <c r="L122" s="16">
        <f t="shared" si="19"/>
        <v>0</v>
      </c>
      <c r="M122" s="25">
        <f>$F122*N('Rate Card'!E122)</f>
        <v>0</v>
      </c>
      <c r="N122" s="25">
        <f>$F122*N('Rate Card'!G122)</f>
        <v>0</v>
      </c>
    </row>
    <row r="123" spans="1:14" x14ac:dyDescent="0.2">
      <c r="A123" s="23"/>
      <c r="B123" s="28" t="str">
        <f>'Rate Card'!A123</f>
        <v>Tech</v>
      </c>
      <c r="C123" s="28" t="str">
        <f>'Rate Card'!B123</f>
        <v>eISF monthly license Fee</v>
      </c>
      <c r="D123" s="28" t="str">
        <f>'Rate Card'!C123</f>
        <v>Pass-through</v>
      </c>
      <c r="E123" s="28" t="str">
        <f>'Rate Card'!D123</f>
        <v>Per month</v>
      </c>
      <c r="F123" s="29">
        <f t="shared" si="15"/>
        <v>0</v>
      </c>
      <c r="G123" s="30">
        <f>'Rate Card'!I123</f>
        <v>0</v>
      </c>
      <c r="H123" s="8"/>
      <c r="I123" s="31">
        <f t="shared" si="16"/>
        <v>0</v>
      </c>
      <c r="J123" s="20">
        <f t="shared" si="17"/>
        <v>0</v>
      </c>
      <c r="K123" s="20">
        <f t="shared" si="18"/>
        <v>0</v>
      </c>
      <c r="L123" s="20">
        <f t="shared" si="19"/>
        <v>0</v>
      </c>
      <c r="M123" s="29">
        <f>$F123*N('Rate Card'!E123)</f>
        <v>0</v>
      </c>
      <c r="N123" s="29">
        <f>$F123*N('Rate Card'!G123)</f>
        <v>0</v>
      </c>
    </row>
    <row r="125" spans="1:14" x14ac:dyDescent="0.2">
      <c r="C125" s="2" t="s">
        <v>240</v>
      </c>
    </row>
    <row r="126" spans="1:14" x14ac:dyDescent="0.2">
      <c r="C126" s="2" t="s">
        <v>241</v>
      </c>
    </row>
  </sheetData>
  <autoFilter ref="A1:N123" xr:uid="{00000000-0009-0000-0000-000004000000}"/>
  <conditionalFormatting sqref="A2:N123">
    <cfRule type="expression" dxfId="2" priority="1">
      <formula>$A2="x"</formula>
    </cfRule>
  </conditionalFormatting>
  <conditionalFormatting sqref="G2:G123">
    <cfRule type="expression" dxfId="1" priority="2">
      <formula>AND($A2="x",$G2=0)</formula>
    </cfRule>
  </conditionalFormatting>
  <conditionalFormatting sqref="H2:H123">
    <cfRule type="expression" dxfId="0" priority="3">
      <formula>AND($H2&lt;&gt;"",$H2&lt;MarginFloor)</formula>
    </cfRule>
  </conditionalFormatting>
  <dataValidations count="1">
    <dataValidation type="list" allowBlank="1" promptTitle="Include" prompt="Type x to include this line in the quote" sqref="A2:A123" xr:uid="{00000000-0002-0000-0400-000000000000}">
      <formula1>"x"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Inputs</vt:lpstr>
      <vt:lpstr>Rate Card</vt:lpstr>
      <vt:lpstr>Summary</vt:lpstr>
      <vt:lpstr>Checks</vt:lpstr>
      <vt:lpstr>Quote</vt:lpstr>
      <vt:lpstr>Discount</vt:lpstr>
      <vt:lpstr>DriverName</vt:lpstr>
      <vt:lpstr>DriverQty</vt:lpstr>
      <vt:lpstr>MarginFloor</vt:lpstr>
      <vt:lpstr>MarginLever</vt:lpstr>
      <vt:lpstr>Months</vt:lpstr>
      <vt:lpstr>MonVisits</vt:lpstr>
      <vt:lpstr>MonVisitsPerSite</vt:lpstr>
      <vt:lpstr>Patients</vt:lpstr>
      <vt:lpstr>SiteMonths</vt:lpstr>
      <vt:lpstr>Sites</vt:lpstr>
      <vt:lpstr>TotalVisits</vt:lpstr>
      <vt:lpstr>VisitsPerPatient</vt:lpstr>
      <vt:lpstr>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Lavina Yadav</cp:lastModifiedBy>
  <dcterms:created xsi:type="dcterms:W3CDTF">2026-08-21T04:38:01Z</dcterms:created>
  <dcterms:modified xsi:type="dcterms:W3CDTF">2026-08-21T04:41:14Z</dcterms:modified>
</cp:coreProperties>
</file>